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@Freelance\09-UA\000-Dirección de Proyectos\Material para UA\2.Plantillas\"/>
    </mc:Choice>
  </mc:AlternateContent>
  <xr:revisionPtr revIDLastSave="0" documentId="13_ncr:1_{181DB3A3-528F-40B1-8358-068CB223D5ED}" xr6:coauthVersionLast="47" xr6:coauthVersionMax="47" xr10:uidLastSave="{00000000-0000-0000-0000-000000000000}"/>
  <bookViews>
    <workbookView xWindow="1200" yWindow="-120" windowWidth="37320" windowHeight="21840" xr2:uid="{00000000-000D-0000-FFFF-FFFF00000000}"/>
  </bookViews>
  <sheets>
    <sheet name="PRESUPUESTO" sheetId="1" r:id="rId1"/>
    <sheet name="Curva S" sheetId="4" r:id="rId7"/>
    <sheet name="Avance semanal" sheetId="5" r:id="rId8"/>
    <sheet name="Ayuda" sheetId="3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<sst xmlns="http://schemas.openxmlformats.org/spreadsheetml/2006/main" count="45" uniqueCount="45">
  <si>
    <t>TOTAL</t>
  </si>
  <si>
    <t>TOTAL por periodo</t>
  </si>
  <si>
    <t>TOTAL acumulado</t>
  </si>
  <si>
    <t>Costo Real acumulado</t>
  </si>
  <si>
    <t>Valor Planeado acumulado</t>
  </si>
  <si>
    <t>Valor Ganado acumulado</t>
  </si>
  <si>
    <t>SPI</t>
  </si>
  <si>
    <t>CPI</t>
  </si>
  <si>
    <r>
      <t xml:space="preserve">VALOR PLANEADO (PV) </t>
    </r>
    <r>
      <rPr>
        <b/>
        <sz val="11"/>
        <color rgb="FF7030A0"/>
        <rFont val="Segoe MDL2 Assets"/>
        <family val="1"/>
      </rPr>
      <t></t>
    </r>
  </si>
  <si>
    <r>
      <t xml:space="preserve">COSTO REAL (AC) </t>
    </r>
    <r>
      <rPr>
        <b/>
        <sz val="11"/>
        <color rgb="FF7030A0"/>
        <rFont val="Segoe MDL2 Assets"/>
        <family val="1"/>
      </rPr>
      <t></t>
    </r>
  </si>
  <si>
    <t>Cargar sólo las celdas blancas. No cargar las celdas coloreadas ya que contienen fórmulas</t>
  </si>
  <si>
    <t>Presup. al cierre (BAC)</t>
  </si>
  <si>
    <t>CONCEPTO</t>
  </si>
  <si>
    <t>Ejemplo: Capacitación</t>
  </si>
  <si>
    <t>Ejemplo: Migración de Datos</t>
  </si>
  <si>
    <t>Ejemplo: Despliegue</t>
  </si>
  <si>
    <r>
      <t xml:space="preserve">VALOR GANADO (EV) </t>
    </r>
    <r>
      <rPr>
        <b/>
        <sz val="11"/>
        <color theme="5"/>
        <rFont val="Segoe MDL2 Assets"/>
        <family val="1"/>
      </rPr>
      <t></t>
    </r>
  </si>
  <si>
    <r>
      <t xml:space="preserve">VALOR PLANEADO (PV) </t>
    </r>
    <r>
      <rPr>
        <b/>
        <sz val="11"/>
        <color theme="5"/>
        <rFont val="Segoe MDL2 Assets"/>
        <family val="1"/>
      </rPr>
      <t></t>
    </r>
  </si>
  <si>
    <t>Ejemplo: Front-end</t>
  </si>
  <si>
    <t>Ejemplo: Back-end</t>
  </si>
  <si>
    <t>Ejemplo: Infraestructura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</si>
  <si>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</si>
  <si>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</si>
  <si>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</si>
  <si>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</si>
  <si>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</si>
  <si>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</si>
  <si>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</si>
  <si>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</si>
  <si>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</si>
  <si>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</si>
  <si>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</si>
  <si>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</si>
  <si>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</si>
  <si>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Periodo 14</t>
  </si>
  <si>
    <t>Periodo 15</t>
  </si>
  <si>
    <t>Periodo 16</t>
  </si>
  <si>
    <t>Periodo 17</t>
  </si>
  <si>
    <t>Periodo 18</t>
  </si>
  <si>
    <t>Periodo 19</t>
  </si>
  <si>
    <t>Periodo 20</t>
  </si>
  <si>
    <t>Periodo 21</t>
  </si>
  <si>
    <t>Periodo 22</t>
  </si>
  <si>
    <t>Periodo 23</t>
  </si>
  <si>
    <t>Periodo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</si>
</sst>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_-* #,##0_-;\-* #,##0_-;_-* &quot;-&quot;??_-;_-@_-"/>
    <numFmt numFmtId="167" formatCode="_-* #,##0.00_-;\-* #,##0.00_-;_-* &quot;-&quot;_-;_-@_-"/>
    <numFmt numFmtId="168" formatCode="#,##0.0 &quot;h&quot;"/>
    <numFmt numFmtId="169" formatCode="0.000"/>
    <numFmt numFmtId="170" formatCode="&quot;$&quot;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7030A0"/>
      <name val="Segoe MDL2 Assets"/>
      <family val="1"/>
    </font>
    <font>
      <b/>
      <sz val="11"/>
      <color theme="5"/>
      <name val="Segoe MDL2 Assets"/>
      <family val="1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40404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/>
    <xf numFmtId="165" fontId="0" fillId="0" borderId="0" xfId="2" applyNumberFormat="1" applyFont="1"/>
    <xf numFmtId="0" fontId="2" fillId="0" borderId="1" xfId="0" applyFont="1" applyBorder="1" applyAlignment="1">
      <alignment horizontal="center"/>
    </xf>
    <xf numFmtId="0" fontId="2" fillId="2" borderId="0" xfId="0" applyFont="1" applyFill="1"/>
    <xf numFmtId="165" fontId="0" fillId="2" borderId="0" xfId="0" applyNumberFormat="1" applyFill="1"/>
    <xf numFmtId="165" fontId="0" fillId="2" borderId="0" xfId="2" applyNumberFormat="1" applyFont="1" applyFill="1"/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166" fontId="0" fillId="5" borderId="0" xfId="1" applyNumberFormat="1" applyFont="1" applyFill="1"/>
    <xf numFmtId="166" fontId="0" fillId="3" borderId="0" xfId="1" applyNumberFormat="1" applyFont="1" applyFill="1"/>
    <xf numFmtId="166" fontId="0" fillId="4" borderId="0" xfId="1" applyNumberFormat="1" applyFont="1" applyFill="1"/>
    <xf numFmtId="167" fontId="0" fillId="2" borderId="0" xfId="0" applyNumberFormat="1" applyFill="1" applyAlignment="1">
      <alignment horizontal="right"/>
    </xf>
    <xf numFmtId="0" fontId="4" fillId="0" borderId="0" xfId="0" applyFont="1"/>
    <xf numFmtId="166" fontId="7" fillId="5" borderId="0" xfId="1" applyNumberFormat="1" applyFont="1" applyFill="1"/>
    <xf numFmtId="166" fontId="8" fillId="0" borderId="0" xfId="1" applyNumberFormat="1" applyFont="1"/>
    <xf numFmtId="0" fontId="11" fillId="0" borderId="0" xfId="0" applyFont="1"/>
    <xf numFmtId="0" fontId="2" fillId="6" borderId="0" xfId="0" applyFont="1" applyFill="1" applyAlignment="1">
      <alignment horizontal="center"/>
    </xf>
    <xf numFmtId="165" fontId="0" fillId="6" borderId="0" xfId="2" applyNumberFormat="1" applyFont="1" applyFill="1"/>
    <xf numFmtId="166" fontId="10" fillId="0" borderId="0" xfId="1" applyNumberFormat="1" applyFont="1"/>
    <xf numFmtId="166" fontId="9" fillId="5" borderId="0" xfId="1" applyNumberFormat="1" applyFont="1" applyFill="1"/>
    <xf numFmtId="0" fontId="12" fillId="0" borderId="0" xfId="0" applyNumberFormat="1" applyFont="1" applyFill="1" applyBorder="1" applyAlignment="1">
      <alignment vertical="bottom"/>
    </xf>
    <xf numFmtId="0" fontId="13" fillId="0" borderId="0" xfId="0" applyNumberFormat="1" applyFont="1" applyFill="1" applyBorder="1" applyAlignment="1">
      <alignment vertical="bottom"/>
    </xf>
    <xf numFmtId="0" fontId="14" fillId="7" borderId="2" xfId="0" applyNumberFormat="1" applyFont="1" applyFill="1" applyBorder="1" applyAlignment="1">
      <alignment horizontal="center" vertical="center" wrapText="1"/>
    </xf>
    <xf numFmtId="0" fontId="20" fillId="0" borderId="2" xfId="0" applyNumberFormat="1" applyFont="1" applyFill="1" applyBorder="1" applyAlignment="1">
      <alignment vertical="center"/>
    </xf>
    <xf numFmtId="0" fontId="20" fillId="0" borderId="2" xfId="0" applyNumberFormat="1" applyFont="1" applyFill="1" applyBorder="1" applyAlignment="1">
      <alignment horizontal="center" vertical="center"/>
    </xf>
    <xf numFmtId="170" fontId="18" fillId="0" borderId="2" xfId="0" applyNumberFormat="1" applyFont="1" applyFill="1" applyBorder="1" applyAlignment="1">
      <alignment vertical="center"/>
    </xf>
    <xf numFmtId="168" fontId="20" fillId="0" borderId="2" xfId="0" applyNumberFormat="1" applyFont="1" applyFill="1" applyBorder="1" applyAlignment="1">
      <alignment vertical="center"/>
    </xf>
    <xf numFmtId="0" fontId="15" fillId="9" borderId="2" xfId="0" applyNumberFormat="1" applyFont="1" applyFill="1" applyBorder="1" applyAlignment="1">
      <alignment horizontal="center" vertical="center"/>
    </xf>
    <xf numFmtId="170" fontId="15" fillId="9" borderId="2" xfId="0" applyNumberFormat="1" applyFont="1" applyFill="1" applyBorder="1" applyAlignment="1">
      <alignment vertical="center"/>
    </xf>
    <xf numFmtId="0" fontId="19" fillId="8" borderId="2" xfId="0" applyNumberFormat="1" applyFont="1" applyFill="1" applyBorder="1" applyAlignment="1">
      <alignment vertical="center"/>
    </xf>
    <xf numFmtId="170" fontId="20" fillId="0" borderId="2" xfId="0" applyNumberFormat="1" applyFont="1" applyFill="1" applyBorder="1" applyAlignment="1">
      <alignment vertical="center"/>
    </xf>
    <xf numFmtId="169" fontId="19" fillId="0" borderId="2" xfId="0" applyNumberFormat="1" applyFont="1" applyFill="1" applyBorder="1" applyAlignment="1">
      <alignment horizontal="right" vertical="center"/>
    </xf>
    <xf numFmtId="168" fontId="20" fillId="0" borderId="2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vertical="top"/>
    </xf>
    <xf numFmtId="0" fontId="17" fillId="0" borderId="0" xfId="0" applyNumberFormat="1" applyFont="1" applyFill="1" applyBorder="1" applyAlignment="1">
      <alignment vertical="bottom"/>
    </xf>
    <xf numFmtId="170" fontId="18" fillId="0" borderId="2" xfId="0" applyNumberFormat="1" applyFont="1" applyFill="1" applyBorder="1" applyAlignment="1">
      <alignment vertical="center"/>
    </xf>
    <xf numFmtId="0" fontId="21" fillId="0" borderId="2" xfId="0" applyNumberFormat="1" applyFont="1" applyFill="1" applyBorder="1" applyAlignment="1">
      <alignment vertical="center"/>
    </xf>
    <xf numFmtId="0" fontId="19" fillId="10" borderId="2" xfId="0" applyNumberFormat="1" applyFont="1" applyFill="1" applyBorder="1" applyAlignment="1">
      <alignment vertical="center"/>
    </xf>
    <xf numFmtId="0" fontId="19" fillId="10" borderId="2" xfId="0" applyNumberFormat="1" applyFont="1" applyFill="1" applyBorder="1" applyAlignment="1">
      <alignment horizontal="center" vertical="center"/>
    </xf>
    <xf numFmtId="170" fontId="18" fillId="10" borderId="2" xfId="0" applyNumberFormat="1" applyFont="1" applyFill="1" applyBorder="1" applyAlignment="1">
      <alignment vertical="center"/>
    </xf>
    <xf numFmtId="168" fontId="20" fillId="10" borderId="2" xfId="0" applyNumberFormat="1" applyFont="1" applyFill="1" applyBorder="1" applyAlignment="1">
      <alignment vertical="center"/>
    </xf>
    <xf numFmtId="0" fontId="14" fillId="7" borderId="2" xfId="0" applyNumberFormat="1" applyFont="1" applyFill="1" applyBorder="1" applyAlignment="1">
      <alignment horizontal="left" vertical="center"/>
    </xf>
    <xf numFmtId="170" fontId="20" fillId="0" borderId="2" xfId="0" applyNumberFormat="1" applyFont="1" applyFill="1" applyBorder="1" applyAlignment="1">
      <alignment vertical="center"/>
    </xf>
    <xf numFmtId="170" fontId="19" fillId="10" borderId="2" xfId="0" applyNumberFormat="1" applyFont="1" applyFill="1" applyBorder="1" applyAlignment="1">
      <alignment vertical="center"/>
    </xf>
    <xf numFmtId="168" fontId="15" fillId="9" borderId="2" xfId="0" applyNumberFormat="1" applyFont="1" applyFill="1" applyBorder="1" applyAlignment="1">
      <alignment vertical="center"/>
    </xf>
    <xf numFmtId="168" fontId="19" fillId="8" borderId="2" xfId="0" applyNumberFormat="1" applyFont="1" applyFill="1" applyBorder="1" applyAlignment="1">
      <alignment vertical="center"/>
    </xf>
    <xf numFmtId="170" fontId="19" fillId="8" borderId="2" xfId="0" applyNumberFormat="1" applyFont="1" applyFill="1" applyBorder="1" applyAlignment="1">
      <alignment vertical="center"/>
    </xf>
    <xf numFmtId="164" fontId="0" fillId="0" borderId="0" xfId="2" applyNumberFormat="1" applyFont="1"/>
    <xf numFmtId="164" fontId="0" fillId="2" borderId="0" xfId="0" applyNumberFormat="1" applyFill="1"/>
    <xf numFmtId="164" fontId="0" fillId="2" borderId="0" xfId="2" applyNumberFormat="1" applyFont="1" applyFill="1"/>
    <xf numFmtId="10" fontId="20" fillId="0" borderId="2" xfId="0" applyNumberFormat="1" applyFont="1" applyFill="1" applyBorder="1" applyAlignment="1">
      <alignment vertical="center"/>
    </xf>
    <xf numFmtId="9" fontId="15" fillId="9" borderId="2" xfId="0" applyNumberFormat="1" applyFont="1" applyFill="1" applyBorder="1" applyAlignment="1">
      <alignment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PRESUPUESTO!$A$38</c:f>
              <c:strCache>
                <c:ptCount val="1"/>
                <c:pt idx="0">
                  <c:v>VALOR PLANEADO (PV) 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PRESUPUESTO!$B$38:$Y$38</c:f>
              <c:numCache>
                <c:formatCode>_-* #,##0_-;\-* #,##0_-;_-* "-"??_-;_-@_-</c:formatCode>
                <c:ptCount val="24"/>
                <c:pt idx="0">
                  <c:v>240</c:v>
                </c:pt>
                <c:pt idx="1">
                  <c:v>180</c:v>
                </c:pt>
                <c:pt idx="2">
                  <c:v>180</c:v>
                </c:pt>
                <c:pt idx="3">
                  <c:v>193.14</c:v>
                </c:pt>
                <c:pt idx="4">
                  <c:v>240</c:v>
                </c:pt>
                <c:pt idx="5">
                  <c:v>180</c:v>
                </c:pt>
                <c:pt idx="6">
                  <c:v>180</c:v>
                </c:pt>
                <c:pt idx="7">
                  <c:v>193.14</c:v>
                </c:pt>
                <c:pt idx="8">
                  <c:v>180</c:v>
                </c:pt>
                <c:pt idx="9">
                  <c:v>240</c:v>
                </c:pt>
                <c:pt idx="10">
                  <c:v>180</c:v>
                </c:pt>
                <c:pt idx="11">
                  <c:v>193.14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FB-4A8B-8258-5E105568D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727552"/>
        <c:axId val="390741656"/>
      </c:barChart>
      <c:lineChart>
        <c:grouping val="standard"/>
        <c:varyColors val="0"/>
        <c:ser>
          <c:idx val="0"/>
          <c:order val="1"/>
          <c:tx>
            <c:strRef>
              <c:f>PRESUPUESTO!$A$38</c:f>
              <c:strCache>
                <c:ptCount val="1"/>
                <c:pt idx="0">
                  <c:v>VALOR PLANEADO (PV) 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PRESUPUESTO!$B$40:$Y$40</c:f>
              <c:numCache>
                <c:formatCode>_-* #,##0_-;\-* #,##0_-;_-* "-"??_-;_-@_-</c:formatCode>
                <c:ptCount val="24"/>
                <c:pt idx="0">
                  <c:v>240</c:v>
                </c:pt>
                <c:pt idx="1">
                  <c:v>420</c:v>
                </c:pt>
                <c:pt idx="2">
                  <c:v>600</c:v>
                </c:pt>
                <c:pt idx="3">
                  <c:v>793.14</c:v>
                </c:pt>
                <c:pt idx="4">
                  <c:v>1033.14</c:v>
                </c:pt>
                <c:pt idx="5">
                  <c:v>1213.14</c:v>
                </c:pt>
                <c:pt idx="6">
                  <c:v>1393.14</c:v>
                </c:pt>
                <c:pt idx="7">
                  <c:v>1586.28</c:v>
                </c:pt>
                <c:pt idx="8">
                  <c:v>1766.28</c:v>
                </c:pt>
                <c:pt idx="9">
                  <c:v>2006.28</c:v>
                </c:pt>
                <c:pt idx="10">
                  <c:v>2186.28</c:v>
                </c:pt>
                <c:pt idx="11">
                  <c:v>2379.42</c:v>
                </c:pt>
                <c:pt idx="12">
                  <c:v>2379.42</c:v>
                </c:pt>
                <c:pt idx="13">
                  <c:v>2379.42</c:v>
                </c:pt>
                <c:pt idx="14">
                  <c:v>2379.42</c:v>
                </c:pt>
                <c:pt idx="15">
                  <c:v>2379.42</c:v>
                </c:pt>
                <c:pt idx="16">
                  <c:v>2379.42</c:v>
                </c:pt>
                <c:pt idx="17">
                  <c:v>2379.42</c:v>
                </c:pt>
                <c:pt idx="18">
                  <c:v>2379.42</c:v>
                </c:pt>
                <c:pt idx="19">
                  <c:v>2379.42</c:v>
                </c:pt>
                <c:pt idx="20">
                  <c:v>2379.42</c:v>
                </c:pt>
                <c:pt idx="21">
                  <c:v>2379.42</c:v>
                </c:pt>
                <c:pt idx="22">
                  <c:v>2379.42</c:v>
                </c:pt>
                <c:pt idx="23">
                  <c:v>2379.42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9-4F19-A333-37F9F717A8A8}"/>
            </c:ext>
          </c:extLst>
        </c:ser>
        <c:ser>
          <c:idx val="1"/>
          <c:order val="2"/>
          <c:tx>
            <c:strRef>
              <c:f>PRESUPUESTO!$A$41</c:f>
              <c:strCache>
                <c:ptCount val="1"/>
                <c:pt idx="0">
                  <c:v>VALOR GANADO (EV) 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PRESUPUESTO!$B$42:$Y$42</c:f>
              <c:numCache>
                <c:formatCode>_-* #,##0_-;\-* #,##0_-;_-* "-"??_-;_-@_-</c:formatCode>
                <c:ptCount val="24"/>
                <c:pt idx="0">
                  <c:v>140</c:v>
                </c:pt>
                <c:pt idx="1">
                  <c:v>440</c:v>
                </c:pt>
                <c:pt idx="2">
                  <c:v>640</c:v>
                </c:pt>
                <c:pt idx="3">
                  <c:v>863.14</c:v>
                </c:pt>
                <c:pt idx="4">
                  <c:v>1133.14</c:v>
                </c:pt>
                <c:pt idx="5">
                  <c:v>1363.14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9-4F19-A333-37F9F717A8A8}"/>
            </c:ext>
          </c:extLst>
        </c:ser>
        <c:ser>
          <c:idx val="2"/>
          <c:order val="3"/>
          <c:tx>
            <c:strRef>
              <c:f>PRESUPUESTO!$A$43</c:f>
              <c:strCache>
                <c:ptCount val="1"/>
                <c:pt idx="0">
                  <c:v>COSTO REAL (AC) 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PRESUPUESTO!$B$44:$Y$44</c:f>
              <c:numCache>
                <c:formatCode>_-* #,##0_-;\-* #,##0_-;_-* "-"??_-;_-@_-</c:formatCode>
                <c:ptCount val="24"/>
                <c:pt idx="0">
                  <c:v>240</c:v>
                </c:pt>
                <c:pt idx="1">
                  <c:v>420</c:v>
                </c:pt>
                <c:pt idx="2">
                  <c:v>600</c:v>
                </c:pt>
                <c:pt idx="3">
                  <c:v>793.14</c:v>
                </c:pt>
                <c:pt idx="4">
                  <c:v>1033.14</c:v>
                </c:pt>
                <c:pt idx="5">
                  <c:v>1213.14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9-4F19-A333-37F9F717A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390727552"/>
        <c:axId val="390741656"/>
      </c:lineChart>
      <c:catAx>
        <c:axId val="39072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741656"/>
        <c:crosses val="autoZero"/>
        <c:auto val="1"/>
        <c:lblAlgn val="ctr"/>
        <c:lblOffset val="100"/>
        <c:noMultiLvlLbl val="0"/>
      </c:catAx>
      <c:valAx>
        <c:axId val="390741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907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AR" sz="1400" b="1">
                <a:solidFill>
                  <a:srgbClr val="262626"/>
                </a:solidFill>
                <a:latin typeface="Calibri"/>
              </a:rPr>
              <a:t>Curva S — PV vs EV vs AC (USD acumulados, corte semana 10)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 (Costo Real)</c:v>
          </c:tx>
          <c:spPr>
            <a:ln w="50800" cap="rnd">
              <a:solidFill>
                <a:srgbClr val="F2B700"/>
              </a:solidFill>
              <a:round/>
            </a:ln>
          </c:spPr>
          <c:marker>
            <c:symbol val="none"/>
          </c:marker>
          <c:dLbls>
            <c:dLbl>
              <c:idx val="5"/>
              <c:numFmt formatCode="&quot;AC &quot;&quot;$&quot;#,##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000" b="1">
                      <a:solidFill>
                        <a:srgbClr val="B8860B"/>
                      </a:solidFill>
                    </a:defRPr>
                  </a:pPr>
                  <a:endParaRPr lang="es-A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'Curva S'!$B$5:$B$17</c:f>
            </c:strRef>
          </c:cat>
          <c:val>
            <c:numRef>
              <c:f>PRESUPUESTO!$B$44:$K$44</c:f>
            </c:numRef>
          </c:val>
          <c:smooth val="0"/>
        </c:ser>
        <c:ser>
          <c:idx val="1"/>
          <c:order val="1"/>
          <c:tx>
            <c:v>EV (Valor Ganado)</c:v>
          </c:tx>
          <c:spPr>
            <a:ln w="31750" cap="rnd">
              <a:solidFill>
                <a:srgbClr val="E53935"/>
              </a:solidFill>
              <a:round/>
            </a:ln>
          </c:spPr>
          <c:marker>
            <c:symbol val="circle"/>
            <c:size val="6"/>
            <c:spPr>
              <a:solidFill>
                <a:srgbClr val="E53935"/>
              </a:solidFill>
              <a:ln w="9525">
                <a:solidFill>
                  <a:srgbClr val="FFFFFF"/>
                </a:solidFill>
              </a:ln>
            </c:spPr>
          </c:marker>
          <c:dLbls>
            <c:dLbl>
              <c:idx val="5"/>
              <c:numFmt formatCode="&quot;EV &quot;&quot;$&quot;#,##0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1000" b="1">
                      <a:solidFill>
                        <a:srgbClr val="E53935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'Curva S'!$B$5:$B$17</c:f>
            </c:strRef>
          </c:cat>
          <c:val>
            <c:numRef>
              <c:f>PRESUPUESTO!$B$42:$K$42</c:f>
            </c:numRef>
          </c:val>
          <c:smooth val="0"/>
        </c:ser>
        <c:ser>
          <c:idx val="2"/>
          <c:order val="2"/>
          <c:tx>
            <c:v>PV (Valor Planeado)</c:v>
          </c:tx>
          <c:spPr>
            <a:ln w="22225" cap="rnd">
              <a:solidFill>
                <a:srgbClr val="1A1A1A"/>
              </a:solidFill>
              <a:prstDash val="dash"/>
              <a:round/>
            </a:ln>
          </c:spPr>
          <c:marker>
            <c:symbol val="none"/>
          </c:marker>
          <c:cat>
            <c:strRef>
              <c:f>'Curva S'!$B$5:$B$17</c:f>
            </c:strRef>
          </c:cat>
          <c:val>
            <c:numRef>
              <c:f>PRESUPUESTO!$B$40:$N$40</c:f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AR" sz="1000" b="0">
                    <a:solidFill>
                      <a:srgbClr val="262626"/>
                    </a:solidFill>
                    <a:latin typeface="Calibri"/>
                  </a:rPr>
                  <a:t>Semana (fecha de cierre del sprint)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  <a:latin typeface="Calibri"/>
              </a:defRPr>
            </a:pPr>
            <a:endParaRPr lang="es-AR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7E7E7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/>
                </a:pPr>
                <a:r>
                  <a:rPr lang="es-AR" sz="1000" b="0">
                    <a:solidFill>
                      <a:srgbClr val="262626"/>
                    </a:solidFill>
                    <a:latin typeface="Calibri"/>
                  </a:rPr>
                  <a:t>USD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404040"/>
                </a:solidFill>
                <a:latin typeface="Calibri"/>
              </a:defRPr>
            </a:pPr>
            <a:endParaRPr lang="es-AR"/>
          </a:p>
        </c:txPr>
        <c:crossAx val="500000001"/>
        <c:crosses val="autoZero"/>
        <c:crossBetween val="between"/>
        <c:majorUnit val="1000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1000">
              <a:solidFill>
                <a:srgbClr val="404040"/>
              </a:solidFill>
              <a:latin typeface="Calibri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790575</xdr:colOff>
      <xdr:row>4</xdr:row>
      <xdr:rowOff>95250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0C992FF-6D5D-AE7E-BBC8-5BF84A0F4588}"/>
            </a:ext>
          </a:extLst>
        </xdr:cNvPr>
        <xdr:cNvSpPr txBox="1"/>
      </xdr:nvSpPr>
      <xdr:spPr>
        <a:xfrm>
          <a:off x="0" y="0"/>
          <a:ext cx="116967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Proyecto: SportMatch (Lab 4 · Dirección de Proyectos)</a:t>
          </a:r>
        </a:p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Fecha: 15/10/2026 (corte Sprint 2 · Semana 10)</a:t>
          </a:r>
        </a:p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N° Equipo: 11</a:t>
          </a:r>
        </a:p>
        <a:p>
          <a:r>
            <a:rPr lang="es-AR" sz="1100">
              <a:latin typeface="Segoe UI" panose="020B0502040204020203" pitchFamily="34" charset="0"/>
              <a:cs typeface="Segoe UI" panose="020B0502040204020203" pitchFamily="34" charset="0"/>
            </a:rPr>
            <a:t>			Versión: 2.0</a:t>
          </a:r>
        </a:p>
      </xdr:txBody>
    </xdr:sp>
    <xdr:clientData/>
  </xdr:twoCellAnchor>
  <xdr:twoCellAnchor editAs="oneCell">
    <xdr:from>
      <xdr:col>1</xdr:col>
      <xdr:colOff>202397</xdr:colOff>
      <xdr:row>47</xdr:row>
      <xdr:rowOff>9524</xdr:rowOff>
    </xdr:from>
    <xdr:to>
      <xdr:col>18</xdr:col>
      <xdr:colOff>595303</xdr:colOff>
      <xdr:row>74</xdr:row>
      <xdr:rowOff>11906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56B389C-2400-45C6-8B60-EF1FA117E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428625</xdr:colOff>
      <xdr:row>0</xdr:row>
      <xdr:rowOff>178593</xdr:rowOff>
    </xdr:from>
    <xdr:to>
      <xdr:col>0</xdr:col>
      <xdr:colOff>2208811</xdr:colOff>
      <xdr:row>3</xdr:row>
      <xdr:rowOff>46043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7753B1-1233-42BC-86D5-CCF820C5C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78593"/>
          <a:ext cx="1780186" cy="43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0</xdr:row>
      <xdr:rowOff>104775</xdr:rowOff>
    </xdr:from>
    <xdr:to>
      <xdr:col>8</xdr:col>
      <xdr:colOff>47625</xdr:colOff>
      <xdr:row>27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41C574-A258-AC01-FEF7-08D59FD9FF4B}"/>
            </a:ext>
          </a:extLst>
        </xdr:cNvPr>
        <xdr:cNvSpPr txBox="1"/>
      </xdr:nvSpPr>
      <xdr:spPr>
        <a:xfrm>
          <a:off x="66674" y="104775"/>
          <a:ext cx="8143876" cy="5086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planilla “EVM y Curva S” responde al método del valor ganado EVM (Earned Value Management).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Esta planilla permite la carga consolidada de los distintos ítems de costos de proyecto (Hoja PRESUPUESTO, filas 9 en adelante), con lo cual se dibuja automáticamente en el gráfico la curva S Valor Planeado.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Finalmente, periodo a periodo, se carga el avance de proyecto en valor obtenido (VALOR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GANADO</a:t>
          </a: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), y se carga también el total de costos incurridos reales del periodo (COSTO REAL).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planilla está preparada para una cantidad amplia de periodos y una cantidad amplia de conceptos. Si el desarrollo de los costos ocupa menos columnas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o menos filas se deben ocultar las sobrantes. No es conveniente eliminar ni columnas ni filas ya que pueden quedar fórmulas inconsistentes.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Los valores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de las filas con </a:t>
          </a: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iconos rectangulares y cifras en NARANJA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se comparan entre si, y lo mismo sucede con los valores de las filas con iconos rectangulares y cifras en VIOLETA. Es decir, se compara lo planificado vs. lo real.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distancia entre la curva VERDE y AZUL (EV vs. PV) determina la variación en el CRONOGRAMA: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VERDE por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debajo de AZUL = Cronograma atrasado. Excesivo tiempo para el resultado producido a la fecha (va avanzando más lento).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VERDE por encima de AZUL = Cronograma adelantado. Escaso tiempo para el resultado producido a la fecha (va avanzando más rápido).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 distancia entre la curva ROJA y VERDE (AC vs. EV) determina la variación en los COSTOS: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ROJA por encima de VERDE</a:t>
          </a: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= Costo alto. Excesivo costo para el resultado producido a la fecha (va costando más caro).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- ROJA por debajo de VERDE = Costo bajo. Escaso costo para el resultado producido a la fecha (va costando más barato).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AR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76200</xdr:rowOff>
    </xdr:from>
    <xdr:to>
      <xdr:col>9</xdr:col>
      <xdr:colOff>0</xdr:colOff>
      <xdr:row>44</xdr:row>
      <xdr:rowOff>0</xdr:rowOff>
    </xdr:to>
    <xdr:graphicFrame macro="">
      <xdr:nvGraphicFramePr>
        <xdr:cNvPr id="2" name="Curva S PV EV A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6:Z46"/>
  <sheetViews>
    <sheetView tabSelected="1"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baseColWidth="10" defaultColWidth="9.140625" defaultRowHeight="15" x14ac:dyDescent="0.25"/>
  <cols>
    <col min="1" max="1" width="42.140625" customWidth="1"/>
    <col min="2" max="25" width="12.140625" customWidth="1"/>
    <col min="26" max="26" width="21" customWidth="1"/>
  </cols>
  <sheetData>
    <row r="6" spans="1:26" x14ac:dyDescent="0.25">
      <c r="A6" s="15" t="s">
        <v>10</v>
      </c>
    </row>
    <row r="8" spans="1:26" x14ac:dyDescent="0.25">
      <c r="A8" s="1" t="s">
        <v>12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29</v>
      </c>
      <c r="K8" s="3" t="s">
        <v>30</v>
      </c>
      <c r="L8" s="3" t="s">
        <v>31</v>
      </c>
      <c r="M8" s="3" t="s">
        <v>32</v>
      </c>
      <c r="N8" s="3" t="s">
        <v>33</v>
      </c>
      <c r="O8" s="3" t="s">
        <v>34</v>
      </c>
      <c r="P8" s="3" t="s">
        <v>35</v>
      </c>
      <c r="Q8" s="3" t="s">
        <v>36</v>
      </c>
      <c r="R8" s="3" t="s">
        <v>37</v>
      </c>
      <c r="S8" s="3" t="s">
        <v>38</v>
      </c>
      <c r="T8" s="3" t="s">
        <v>39</v>
      </c>
      <c r="U8" s="3" t="s">
        <v>40</v>
      </c>
      <c r="V8" s="3" t="s">
        <v>41</v>
      </c>
      <c r="W8" s="3" t="s">
        <v>42</v>
      </c>
      <c r="X8" s="3" t="s">
        <v>43</v>
      </c>
      <c r="Y8" s="3" t="s">
        <v>44</v>
      </c>
      <c r="Z8" s="3" t="s">
        <v>0</v>
      </c>
    </row>
    <row r="9" spans="1:26" x14ac:dyDescent="0.25">
      <c r="A9" t="inlineStr">
        <is>
          <t>Dev 1 · ipacheco · 6 h/sem × 10 USD/h</t>
        </is>
      </c>
      <c r="B9" s="50">
        <v>60</v>
      </c>
      <c r="C9" s="50">
        <v>60</v>
      </c>
      <c r="D9" s="50">
        <v>60</v>
      </c>
      <c r="E9" s="50">
        <v>60</v>
      </c>
      <c r="F9" s="50">
        <v>60</v>
      </c>
      <c r="G9" s="50">
        <v>60</v>
      </c>
      <c r="H9" s="50">
        <v>60</v>
      </c>
      <c r="I9" s="50">
        <v>60</v>
      </c>
      <c r="J9" s="50">
        <v>60</v>
      </c>
      <c r="K9" s="50">
        <v>60</v>
      </c>
      <c r="L9" s="50">
        <v>60</v>
      </c>
      <c r="M9" s="50">
        <v>60</v>
      </c>
      <c r="N9" s="50">
        <v>60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>
        <f t="shared" ref="Z9:Z33" si="0">SUM(B9:Y9)</f>
      </c>
    </row>
    <row r="10" spans="1:26" x14ac:dyDescent="0.25">
      <c r="A10" t="inlineStr">
        <is>
          <t>Dev 2 · jrudolph · 6 h/sem × 10 USD/h</t>
        </is>
      </c>
      <c r="B10" s="50">
        <v>60</v>
      </c>
      <c r="C10" s="50">
        <v>60</v>
      </c>
      <c r="D10" s="50">
        <v>60</v>
      </c>
      <c r="E10" s="50">
        <v>60</v>
      </c>
      <c r="F10" s="50">
        <v>60</v>
      </c>
      <c r="G10" s="50">
        <v>60</v>
      </c>
      <c r="H10" s="50">
        <v>60</v>
      </c>
      <c r="I10" s="50">
        <v>60</v>
      </c>
      <c r="J10" s="50">
        <v>60</v>
      </c>
      <c r="K10" s="50">
        <v>60</v>
      </c>
      <c r="L10" s="50">
        <v>60</v>
      </c>
      <c r="M10" s="50">
        <v>60</v>
      </c>
      <c r="N10" s="50">
        <v>60</v>
      </c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>
        <f t="shared" si="0"/>
      </c>
    </row>
    <row r="11" spans="1:26" x14ac:dyDescent="0.25">
      <c r="A11" t="inlineStr">
        <is>
          <t>Dev 3 · jfsiaba · 6 h/sem × 10 USD/h</t>
        </is>
      </c>
      <c r="B11" s="50">
        <v>60</v>
      </c>
      <c r="C11" s="50">
        <v>60</v>
      </c>
      <c r="D11" s="50">
        <v>60</v>
      </c>
      <c r="E11" s="50">
        <v>60</v>
      </c>
      <c r="F11" s="50">
        <v>60</v>
      </c>
      <c r="G11" s="50">
        <v>60</v>
      </c>
      <c r="H11" s="50">
        <v>60</v>
      </c>
      <c r="I11" s="50">
        <v>60</v>
      </c>
      <c r="J11" s="50">
        <v>60</v>
      </c>
      <c r="K11" s="50">
        <v>60</v>
      </c>
      <c r="L11" s="50">
        <v>60</v>
      </c>
      <c r="M11" s="50">
        <v>60</v>
      </c>
      <c r="N11" s="50">
        <v>60</v>
      </c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>
        <f t="shared" si="0"/>
      </c>
    </row>
    <row r="12" spans="1:26" x14ac:dyDescent="0.25">
      <c r="A12" t="inlineStr">
        <is>
          <t>Infra · Azure B1 (back) · 13,14 USD/mes</t>
        </is>
      </c>
      <c r="B12" s="50"/>
      <c r="C12" s="50"/>
      <c r="D12" s="50"/>
      <c r="E12" s="50">
        <v>13.14</v>
      </c>
      <c r="F12" s="50"/>
      <c r="G12" s="50"/>
      <c r="H12" s="50"/>
      <c r="I12" s="50">
        <v>13.14</v>
      </c>
      <c r="J12" s="50"/>
      <c r="K12" s="50"/>
      <c r="L12" s="50"/>
      <c r="M12" s="50">
        <v>13.14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>
        <f t="shared" si="0"/>
      </c>
    </row>
    <row r="13" spans="1:26" x14ac:dyDescent="0.25">
      <c r="A13" t="inlineStr">
        <is>
          <t xml:space="preserve">Infra · Vercel + Neon + Google Maps/Places (plan gratis)</t>
        </is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>
        <f t="shared" si="0"/>
      </c>
    </row>
    <row r="14" spans="1:26" x14ac:dyDescent="0.25">
      <c r="A14" t="inlineStr">
        <is>
          <t>IA · Claude Code/ChatGPT · 3 × 20 USD/mes</t>
        </is>
      </c>
      <c r="B14" s="50">
        <v>60</v>
      </c>
      <c r="C14" s="50"/>
      <c r="D14" s="50"/>
      <c r="E14" s="50"/>
      <c r="F14" s="50">
        <v>60</v>
      </c>
      <c r="G14" s="50"/>
      <c r="H14" s="50"/>
      <c r="I14" s="50"/>
      <c r="J14" s="50"/>
      <c r="K14" s="50">
        <v>60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>
        <f t="shared" si="0"/>
      </c>
    </row>
    <row r="15" spans="1:26" x14ac:dyDescent="0.25">
      <c r="A15" t="inlineStr">
        <is>
          <t xml:space="preserve">Lead · PM · 4 h/sem × 20 USD/h</t>
        </is>
      </c>
      <c r="B15" s="50">
        <v>80</v>
      </c>
      <c r="C15" s="50">
        <v>80</v>
      </c>
      <c r="D15" s="50">
        <v>80</v>
      </c>
      <c r="E15" s="50">
        <v>80</v>
      </c>
      <c r="F15" s="50">
        <v>80</v>
      </c>
      <c r="G15" s="50">
        <v>80</v>
      </c>
      <c r="H15" s="50">
        <v>80</v>
      </c>
      <c r="I15" s="50">
        <v>80</v>
      </c>
      <c r="J15" s="50">
        <v>80</v>
      </c>
      <c r="K15" s="50">
        <v>80</v>
      </c>
      <c r="L15" s="50">
        <v>80</v>
      </c>
      <c r="M15" s="50">
        <v>80</v>
      </c>
      <c r="N15" s="50">
        <v>80</v>
      </c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>
        <f t="shared" si="0"/>
      </c>
    </row>
    <row r="16" spans="1:26" x14ac:dyDescent="0.25">
      <c r="A16" t="inlineStr">
        <is>
          <t xml:space="preserve">Lead · PO · 4 h/sem × 20 USD/h</t>
        </is>
      </c>
      <c r="B16" s="50">
        <v>80</v>
      </c>
      <c r="C16" s="50">
        <v>80</v>
      </c>
      <c r="D16" s="50">
        <v>80</v>
      </c>
      <c r="E16" s="50">
        <v>80</v>
      </c>
      <c r="F16" s="50">
        <v>80</v>
      </c>
      <c r="G16" s="50">
        <v>80</v>
      </c>
      <c r="H16" s="50">
        <v>80</v>
      </c>
      <c r="I16" s="50">
        <v>80</v>
      </c>
      <c r="J16" s="50">
        <v>80</v>
      </c>
      <c r="K16" s="50">
        <v>80</v>
      </c>
      <c r="L16" s="50">
        <v>80</v>
      </c>
      <c r="M16" s="50">
        <v>80</v>
      </c>
      <c r="N16" s="50">
        <v>80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>
        <f t="shared" si="0"/>
      </c>
    </row>
    <row r="17" spans="1:26" x14ac:dyDescent="0.25">
      <c r="A17" t="inlineStr">
        <is>
          <t xml:space="preserve">Lead · Tech Lead · 4 h/sem × 20 USD/h</t>
        </is>
      </c>
      <c r="B17" s="50">
        <v>80</v>
      </c>
      <c r="C17" s="50">
        <v>80</v>
      </c>
      <c r="D17" s="50">
        <v>80</v>
      </c>
      <c r="E17" s="50">
        <v>80</v>
      </c>
      <c r="F17" s="50">
        <v>80</v>
      </c>
      <c r="G17" s="50">
        <v>80</v>
      </c>
      <c r="H17" s="50">
        <v>80</v>
      </c>
      <c r="I17" s="50">
        <v>80</v>
      </c>
      <c r="J17" s="50">
        <v>80</v>
      </c>
      <c r="K17" s="50">
        <v>80</v>
      </c>
      <c r="L17" s="50">
        <v>80</v>
      </c>
      <c r="M17" s="50">
        <v>80</v>
      </c>
      <c r="N17" s="50">
        <v>80</v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>
        <f t="shared" si="0"/>
      </c>
    </row>
    <row r="18" spans="1:26" x14ac:dyDescent="0.25">
      <c r="A18" t="inlineStr">
        <is>
          <t xml:space="preserve">Lead · QA Lead · 4 h/sem × 20 USD/h</t>
        </is>
      </c>
      <c r="B18" s="50">
        <v>80</v>
      </c>
      <c r="C18" s="50">
        <v>80</v>
      </c>
      <c r="D18" s="50">
        <v>80</v>
      </c>
      <c r="E18" s="50">
        <v>80</v>
      </c>
      <c r="F18" s="50">
        <v>80</v>
      </c>
      <c r="G18" s="50">
        <v>80</v>
      </c>
      <c r="H18" s="50">
        <v>80</v>
      </c>
      <c r="I18" s="50">
        <v>80</v>
      </c>
      <c r="J18" s="50">
        <v>80</v>
      </c>
      <c r="K18" s="50">
        <v>80</v>
      </c>
      <c r="L18" s="50">
        <v>80</v>
      </c>
      <c r="M18" s="50">
        <v>80</v>
      </c>
      <c r="N18" s="50">
        <v>80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>
        <f t="shared" si="0"/>
      </c>
    </row>
    <row r="19" spans="1:26" x14ac:dyDescent="0.25">
      <c r="A19" t="inlineStr">
        <is>
          <t xml:space="preserve">Contingencia de actividades · 10 % del costo de la semana (Curva S!L7, dentro del BAC)</t>
        </is>
      </c>
      <c r="B19" s="50">
        <f>'Curva S'!$L$7*SUM(B9:B18)</f>
      </c>
      <c r="C19" s="50">
        <f>'Curva S'!$L$7*SUM(C9:C18)</f>
      </c>
      <c r="D19" s="50">
        <f>'Curva S'!$L$7*SUM(D9:D18)</f>
      </c>
      <c r="E19" s="50">
        <f>'Curva S'!$L$7*SUM(E9:E18)</f>
      </c>
      <c r="F19" s="50">
        <f>'Curva S'!$L$7*SUM(F9:F18)</f>
      </c>
      <c r="G19" s="50">
        <f>'Curva S'!$L$7*SUM(G9:G18)</f>
      </c>
      <c r="H19" s="50">
        <f>'Curva S'!$L$7*SUM(H9:H18)</f>
      </c>
      <c r="I19" s="50">
        <f>'Curva S'!$L$7*SUM(I9:I18)</f>
      </c>
      <c r="J19" s="50">
        <f>'Curva S'!$L$7*SUM(J9:J18)</f>
      </c>
      <c r="K19" s="50">
        <f>'Curva S'!$L$7*SUM(K9:K18)</f>
      </c>
      <c r="L19" s="50">
        <f>'Curva S'!$L$7*SUM(L9:L18)</f>
      </c>
      <c r="M19" s="50">
        <f>'Curva S'!$L$7*SUM(M9:M18)</f>
      </c>
      <c r="N19" s="50">
        <f>'Curva S'!$L$7*SUM(N9:N18)</f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>
        <f t="shared" si="0"/>
      </c>
    </row>
    <row r="20" spans="2:26" x14ac:dyDescent="0.25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>
        <f t="shared" si="0"/>
      </c>
    </row>
    <row r="21" spans="2:26" x14ac:dyDescent="0.25"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>
        <f t="shared" si="0"/>
      </c>
    </row>
    <row r="22" spans="2:26" x14ac:dyDescent="0.25"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>
        <f t="shared" si="0"/>
      </c>
    </row>
    <row r="23" spans="2:26" x14ac:dyDescent="0.25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>
        <f t="shared" si="0"/>
      </c>
    </row>
    <row r="24" spans="2:26" x14ac:dyDescent="0.25"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>
        <f t="shared" si="0"/>
      </c>
    </row>
    <row r="25" spans="2:26" x14ac:dyDescent="0.25"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>
        <f t="shared" si="0"/>
      </c>
    </row>
    <row r="26" spans="2:26" x14ac:dyDescent="0.25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>
        <f t="shared" si="0"/>
      </c>
    </row>
    <row r="27" spans="2:26" x14ac:dyDescent="0.25"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>
        <f t="shared" si="0"/>
      </c>
    </row>
    <row r="28" spans="2:26" x14ac:dyDescent="0.25"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>
        <f t="shared" si="0"/>
      </c>
    </row>
    <row r="29" spans="2:26" x14ac:dyDescent="0.25"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>
        <f t="shared" si="0"/>
      </c>
    </row>
    <row r="30" spans="2:26" x14ac:dyDescent="0.25"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>
        <f t="shared" si="0"/>
      </c>
    </row>
    <row r="31" spans="2:26" x14ac:dyDescent="0.25"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>
        <f t="shared" si="0"/>
      </c>
    </row>
    <row r="32" spans="2:26" x14ac:dyDescent="0.25"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>
        <f t="shared" si="0"/>
      </c>
    </row>
    <row r="33" spans="1:26" x14ac:dyDescent="0.25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>
        <f t="shared" si="0"/>
      </c>
    </row>
    <row r="34" spans="1:26" x14ac:dyDescent="0.25">
      <c r="A34" s="4" t="s">
        <v>1</v>
      </c>
      <c r="B34" s="52">
        <f t="shared" ref="B34:Z34" si="1">SUM(B9:B33)</f>
      </c>
      <c r="C34" s="52">
        <f t="shared" si="1"/>
      </c>
      <c r="D34" s="52">
        <f t="shared" si="1"/>
      </c>
      <c r="E34" s="52">
        <f t="shared" si="1"/>
      </c>
      <c r="F34" s="52">
        <f t="shared" si="1"/>
      </c>
      <c r="G34" s="52">
        <f t="shared" si="1"/>
      </c>
      <c r="H34" s="52">
        <f t="shared" si="1"/>
      </c>
      <c r="I34" s="52">
        <f t="shared" si="1"/>
      </c>
      <c r="J34" s="52">
        <f t="shared" si="1"/>
      </c>
      <c r="K34" s="52">
        <f t="shared" si="1"/>
      </c>
      <c r="L34" s="52">
        <f t="shared" si="1"/>
      </c>
      <c r="M34" s="52">
        <f t="shared" si="1"/>
      </c>
      <c r="N34" s="52">
        <f t="shared" si="1"/>
      </c>
      <c r="O34" s="52">
        <f t="shared" si="1"/>
      </c>
      <c r="P34" s="52">
        <f t="shared" si="1"/>
      </c>
      <c r="Q34" s="52">
        <f t="shared" si="1"/>
      </c>
      <c r="R34" s="52">
        <f t="shared" si="1"/>
      </c>
      <c r="S34" s="52">
        <f t="shared" si="1"/>
      </c>
      <c r="T34" s="52">
        <f t="shared" si="1"/>
      </c>
      <c r="U34" s="52">
        <f t="shared" si="1"/>
      </c>
      <c r="V34" s="52">
        <f t="shared" si="1"/>
      </c>
      <c r="W34" s="52">
        <f t="shared" si="1"/>
      </c>
      <c r="X34" s="52">
        <f t="shared" si="1"/>
      </c>
      <c r="Y34" s="52">
        <f t="shared" si="1"/>
      </c>
      <c r="Z34" s="5">
        <f t="shared" si="1"/>
      </c>
    </row>
    <row r="35" spans="1:26" x14ac:dyDescent="0.25">
      <c r="A35" s="4" t="s">
        <v>2</v>
      </c>
      <c r="B35" s="52">
        <f>B34</f>
      </c>
      <c r="C35" s="52">
        <f>B35+C34</f>
      </c>
      <c r="D35" s="52">
        <f t="shared" ref="D35:G35" si="2">C35+D34</f>
      </c>
      <c r="E35" s="52">
        <f t="shared" si="2"/>
      </c>
      <c r="F35" s="52">
        <f t="shared" si="2"/>
      </c>
      <c r="G35" s="52">
        <f t="shared" si="2"/>
      </c>
      <c r="H35" s="52">
        <f t="shared" ref="H35" si="3">G35+H34</f>
      </c>
      <c r="I35" s="52">
        <f t="shared" ref="I35" si="4">H35+I34</f>
      </c>
      <c r="J35" s="52">
        <f t="shared" ref="J35" si="5">I35+J34</f>
      </c>
      <c r="K35" s="52">
        <f t="shared" ref="K35" si="6">J35+K34</f>
      </c>
      <c r="L35" s="52">
        <f t="shared" ref="L35" si="7">K35+L34</f>
      </c>
      <c r="M35" s="52">
        <f t="shared" ref="M35" si="8">L35+M34</f>
      </c>
      <c r="N35" s="52">
        <f t="shared" ref="N35" si="9">M35+N34</f>
      </c>
      <c r="O35" s="52">
        <f t="shared" ref="O35" si="10">N35+O34</f>
      </c>
      <c r="P35" s="52">
        <f t="shared" ref="P35" si="11">O35+P34</f>
      </c>
      <c r="Q35" s="52">
        <f>P35+Q34</f>
      </c>
      <c r="R35" s="52">
        <f t="shared" ref="R35:W35" si="12">Q35+R34</f>
      </c>
      <c r="S35" s="52">
        <f t="shared" si="12"/>
      </c>
      <c r="T35" s="52">
        <f t="shared" si="12"/>
      </c>
      <c r="U35" s="52">
        <f t="shared" si="12"/>
      </c>
      <c r="V35" s="52">
        <f t="shared" si="12"/>
      </c>
      <c r="W35" s="52">
        <f t="shared" si="12"/>
      </c>
      <c r="X35" s="52">
        <f>W35+X34</f>
      </c>
      <c r="Y35" s="52">
        <f>X35+Y34</f>
      </c>
    </row>
    <row r="38" spans="1:26" ht="16.5" x14ac:dyDescent="0.25">
      <c r="A38" s="10" t="s">
        <v>8</v>
      </c>
      <c r="B38" s="16">
        <f>B34</f>
      </c>
      <c r="C38" s="16">
        <f t="shared" ref="C38:G38" si="13">C34</f>
      </c>
      <c r="D38" s="16">
        <f t="shared" si="13"/>
      </c>
      <c r="E38" s="16">
        <f t="shared" si="13"/>
      </c>
      <c r="F38" s="16">
        <f t="shared" si="13"/>
      </c>
      <c r="G38" s="16">
        <f t="shared" si="13"/>
      </c>
      <c r="H38" s="16">
        <f t="shared" ref="H38:Y38" si="14">H34</f>
      </c>
      <c r="I38" s="16">
        <f t="shared" si="14"/>
      </c>
      <c r="J38" s="16">
        <f t="shared" si="14"/>
      </c>
      <c r="K38" s="16">
        <f t="shared" ref="K38:X38" si="15">K34</f>
      </c>
      <c r="L38" s="16">
        <f t="shared" si="15"/>
      </c>
      <c r="M38" s="16">
        <f t="shared" si="15"/>
      </c>
      <c r="N38" s="16">
        <f t="shared" si="15"/>
      </c>
      <c r="O38" s="16">
        <f t="shared" si="15"/>
      </c>
      <c r="P38" s="16">
        <f t="shared" si="15"/>
      </c>
      <c r="Q38" s="16">
        <f t="shared" si="15"/>
      </c>
      <c r="R38" s="16">
        <f t="shared" ref="R38:W38" si="16">R34</f>
      </c>
      <c r="S38" s="16">
        <f t="shared" si="16"/>
      </c>
      <c r="T38" s="16">
        <f t="shared" si="16"/>
      </c>
      <c r="U38" s="16">
        <f t="shared" si="16"/>
      </c>
      <c r="V38" s="16">
        <f t="shared" si="16"/>
      </c>
      <c r="W38" s="16">
        <f t="shared" si="16"/>
      </c>
      <c r="X38" s="16">
        <f t="shared" si="15"/>
      </c>
      <c r="Y38" s="16">
        <f t="shared" si="14"/>
      </c>
      <c r="Z38" s="19" t="s">
        <v>11</v>
      </c>
    </row>
    <row r="39" spans="1:26" ht="16.5" x14ac:dyDescent="0.25">
      <c r="A39" s="10" t="s">
        <v>17</v>
      </c>
      <c r="B39" s="22">
        <f>B38</f>
      </c>
      <c r="C39" s="22">
        <f t="shared" ref="C39:Y39" si="17">C38</f>
      </c>
      <c r="D39" s="22">
        <f t="shared" si="17"/>
      </c>
      <c r="E39" s="22">
        <f t="shared" si="17"/>
      </c>
      <c r="F39" s="22">
        <f t="shared" si="17"/>
      </c>
      <c r="G39" s="22">
        <f t="shared" si="17"/>
      </c>
      <c r="H39" s="22">
        <f t="shared" si="17"/>
      </c>
      <c r="I39" s="22">
        <f t="shared" si="17"/>
      </c>
      <c r="J39" s="22">
        <f t="shared" si="17"/>
      </c>
      <c r="K39" s="22">
        <f t="shared" si="17"/>
      </c>
      <c r="L39" s="22">
        <f t="shared" si="17"/>
      </c>
      <c r="M39" s="22">
        <f t="shared" si="17"/>
      </c>
      <c r="N39" s="22">
        <f t="shared" si="17"/>
      </c>
      <c r="O39" s="22">
        <f t="shared" si="17"/>
      </c>
      <c r="P39" s="22">
        <f t="shared" si="17"/>
      </c>
      <c r="Q39" s="22">
        <f t="shared" si="17"/>
      </c>
      <c r="R39" s="22">
        <f t="shared" si="17"/>
      </c>
      <c r="S39" s="22">
        <f t="shared" si="17"/>
      </c>
      <c r="T39" s="22">
        <f t="shared" si="17"/>
      </c>
      <c r="U39" s="22">
        <f t="shared" si="17"/>
      </c>
      <c r="V39" s="22">
        <f t="shared" si="17"/>
      </c>
      <c r="W39" s="22">
        <f t="shared" si="17"/>
      </c>
      <c r="X39" s="22">
        <f t="shared" si="17"/>
      </c>
      <c r="Y39" s="22">
        <f t="shared" si="17"/>
      </c>
      <c r="Z39" s="20">
        <f>Z34</f>
      </c>
    </row>
    <row r="40" spans="1:26" x14ac:dyDescent="0.25">
      <c r="A40" s="10" t="s">
        <v>4</v>
      </c>
      <c r="B40" s="11">
        <f>B35</f>
      </c>
      <c r="C40" s="11">
        <f t="shared" ref="C40:G40" si="18">C35</f>
      </c>
      <c r="D40" s="11">
        <f>D35</f>
      </c>
      <c r="E40" s="11">
        <f t="shared" si="18"/>
      </c>
      <c r="F40" s="11">
        <f t="shared" si="18"/>
      </c>
      <c r="G40" s="11">
        <f t="shared" si="18"/>
      </c>
      <c r="H40" s="11">
        <f t="shared" ref="H40:Y40" si="19">H35</f>
      </c>
      <c r="I40" s="11">
        <f t="shared" si="19"/>
      </c>
      <c r="J40" s="11">
        <f t="shared" si="19"/>
      </c>
      <c r="K40" s="11">
        <f t="shared" ref="K40:X40" si="20">K35</f>
      </c>
      <c r="L40" s="11">
        <f t="shared" si="20"/>
      </c>
      <c r="M40" s="11">
        <f t="shared" si="20"/>
      </c>
      <c r="N40" s="11">
        <f t="shared" si="20"/>
      </c>
      <c r="O40" s="11">
        <f t="shared" si="20"/>
      </c>
      <c r="P40" s="11">
        <f t="shared" si="20"/>
      </c>
      <c r="Q40" s="11">
        <f t="shared" si="20"/>
      </c>
      <c r="R40" s="11">
        <f t="shared" ref="R40:W40" si="21">R35</f>
      </c>
      <c r="S40" s="11">
        <f t="shared" si="21"/>
      </c>
      <c r="T40" s="11">
        <f t="shared" si="21"/>
      </c>
      <c r="U40" s="11">
        <f t="shared" si="21"/>
      </c>
      <c r="V40" s="11">
        <f t="shared" si="21"/>
      </c>
      <c r="W40" s="11">
        <f t="shared" si="21"/>
      </c>
      <c r="X40" s="11">
        <f t="shared" si="20"/>
      </c>
      <c r="Y40" s="11">
        <f t="shared" si="19"/>
      </c>
    </row>
    <row r="41" spans="1:26" ht="16.5" x14ac:dyDescent="0.25">
      <c r="A41" s="8" t="s">
        <v>16</v>
      </c>
      <c r="B41" s="21">
        <f>'Avance semanal'!J6</f>
      </c>
      <c r="C41" s="21">
        <f>'Avance semanal'!J7</f>
      </c>
      <c r="D41" s="21">
        <f>'Avance semanal'!J8</f>
      </c>
      <c r="E41" s="21">
        <f>'Avance semanal'!J9</f>
      </c>
      <c r="F41" s="21">
        <f>'Avance semanal'!J10</f>
      </c>
      <c r="G41" s="21">
        <f>'Avance semanal'!J11</f>
      </c>
      <c r="H41" s="21">
        <f>'Avance semanal'!J12</f>
      </c>
      <c r="I41" s="21">
        <f>'Avance semanal'!J13</f>
      </c>
      <c r="J41" s="21">
        <f>'Avance semanal'!J14</f>
      </c>
      <c r="K41" s="21">
        <f>'Avance semanal'!J15</f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 spans="1:26" x14ac:dyDescent="0.25">
      <c r="A42" s="8" t="s">
        <v>5</v>
      </c>
      <c r="B42" s="12">
        <f>IF(B41=0,NA(),B41)</f>
      </c>
      <c r="C42" s="12">
        <f>IF(C41=0,NA(),B42+C41)</f>
      </c>
      <c r="D42" s="12">
        <f t="shared" ref="D42:Y42" si="22">IF(D41=0,NA(),C42+D41)</f>
      </c>
      <c r="E42" s="12">
        <f t="shared" si="22"/>
      </c>
      <c r="F42" s="12">
        <f t="shared" si="22"/>
      </c>
      <c r="G42" s="12">
        <f t="shared" si="22"/>
      </c>
      <c r="H42" s="12">
        <f t="shared" si="22"/>
      </c>
      <c r="I42" s="12">
        <f t="shared" si="22"/>
      </c>
      <c r="J42" s="12">
        <f t="shared" si="22"/>
      </c>
      <c r="K42" s="12">
        <f t="shared" si="22"/>
      </c>
      <c r="L42" s="12">
        <f t="shared" si="22"/>
      </c>
      <c r="M42" s="12">
        <f t="shared" si="22"/>
      </c>
      <c r="N42" s="12">
        <f t="shared" si="22"/>
      </c>
      <c r="O42" s="12">
        <f t="shared" si="22"/>
      </c>
      <c r="P42" s="12">
        <f t="shared" si="22"/>
      </c>
      <c r="Q42" s="12">
        <f t="shared" si="22"/>
      </c>
      <c r="R42" s="12">
        <f t="shared" si="22"/>
      </c>
      <c r="S42" s="12">
        <f t="shared" si="22"/>
      </c>
      <c r="T42" s="12">
        <f t="shared" si="22"/>
      </c>
      <c r="U42" s="12">
        <f t="shared" si="22"/>
      </c>
      <c r="V42" s="12">
        <f t="shared" si="22"/>
      </c>
      <c r="W42" s="12">
        <f t="shared" si="22"/>
      </c>
      <c r="X42" s="12">
        <f t="shared" si="22"/>
      </c>
      <c r="Y42" s="12">
        <f t="shared" si="22"/>
      </c>
    </row>
    <row r="43" spans="1:26" ht="16.5" x14ac:dyDescent="0.25">
      <c r="A43" s="9" t="s">
        <v>9</v>
      </c>
      <c r="B43" s="17">
        <f>'Avance semanal'!K6</f>
      </c>
      <c r="C43" s="17">
        <f>'Avance semanal'!K7</f>
      </c>
      <c r="D43" s="17">
        <f>'Avance semanal'!K8</f>
      </c>
      <c r="E43" s="17">
        <f>'Avance semanal'!K9</f>
      </c>
      <c r="F43" s="17">
        <f>'Avance semanal'!K10</f>
      </c>
      <c r="G43" s="17">
        <f>'Avance semanal'!K11</f>
      </c>
      <c r="H43" s="17">
        <f>'Avance semanal'!K12</f>
      </c>
      <c r="I43" s="17">
        <f>'Avance semanal'!K13</f>
      </c>
      <c r="J43" s="17">
        <f>'Avance semanal'!K14</f>
      </c>
      <c r="K43" s="17">
        <f>'Avance semanal'!K15</f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6" x14ac:dyDescent="0.25">
      <c r="A44" s="9" t="s">
        <v>3</v>
      </c>
      <c r="B44" s="13">
        <f>IF(B41=0,NA(),B43)</f>
      </c>
      <c r="C44" s="13">
        <f>IF(C41=0,NA(),B44+C43)</f>
      </c>
      <c r="D44" s="13">
        <f t="shared" ref="D44:Y44" si="23">IF(D41=0,NA(),C44+D43)</f>
      </c>
      <c r="E44" s="13">
        <f t="shared" si="23"/>
      </c>
      <c r="F44" s="13">
        <f t="shared" si="23"/>
      </c>
      <c r="G44" s="13">
        <f t="shared" si="23"/>
      </c>
      <c r="H44" s="13">
        <f t="shared" si="23"/>
      </c>
      <c r="I44" s="13">
        <f t="shared" si="23"/>
      </c>
      <c r="J44" s="13">
        <f t="shared" si="23"/>
      </c>
      <c r="K44" s="13">
        <f t="shared" si="23"/>
      </c>
      <c r="L44" s="13">
        <f t="shared" si="23"/>
      </c>
      <c r="M44" s="13">
        <f t="shared" si="23"/>
      </c>
      <c r="N44" s="13">
        <f t="shared" si="23"/>
      </c>
      <c r="O44" s="13">
        <f t="shared" si="23"/>
      </c>
      <c r="P44" s="13">
        <f t="shared" si="23"/>
      </c>
      <c r="Q44" s="13">
        <f t="shared" si="23"/>
      </c>
      <c r="R44" s="13">
        <f t="shared" si="23"/>
      </c>
      <c r="S44" s="13">
        <f t="shared" si="23"/>
      </c>
      <c r="T44" s="13">
        <f t="shared" si="23"/>
      </c>
      <c r="U44" s="13">
        <f t="shared" si="23"/>
      </c>
      <c r="V44" s="13">
        <f t="shared" si="23"/>
      </c>
      <c r="W44" s="13">
        <f t="shared" si="23"/>
      </c>
      <c r="X44" s="13">
        <f t="shared" si="23"/>
      </c>
      <c r="Y44" s="13">
        <f t="shared" si="23"/>
      </c>
    </row>
    <row r="45" spans="1:26" x14ac:dyDescent="0.25">
      <c r="A45" s="7" t="s">
        <v>6</v>
      </c>
      <c r="B45" s="14">
        <f t="shared" ref="B45:Y45" si="24">IFERROR(B42/B40,"-")</f>
      </c>
      <c r="C45" s="14">
        <f t="shared" si="24"/>
      </c>
      <c r="D45" s="14">
        <f t="shared" si="24"/>
      </c>
      <c r="E45" s="14">
        <f t="shared" si="24"/>
      </c>
      <c r="F45" s="14">
        <f t="shared" si="24"/>
      </c>
      <c r="G45" s="14">
        <f t="shared" si="24"/>
      </c>
      <c r="H45" s="14">
        <f t="shared" si="24"/>
      </c>
      <c r="I45" s="14">
        <f t="shared" si="24"/>
      </c>
      <c r="J45" s="14">
        <f t="shared" si="24"/>
      </c>
      <c r="K45" s="14">
        <f t="shared" si="24"/>
      </c>
      <c r="L45" s="14">
        <f t="shared" si="24"/>
      </c>
      <c r="M45" s="14">
        <f t="shared" si="24"/>
      </c>
      <c r="N45" s="14">
        <f t="shared" si="24"/>
      </c>
      <c r="O45" s="14">
        <f t="shared" si="24"/>
      </c>
      <c r="P45" s="14">
        <f t="shared" si="24"/>
      </c>
      <c r="Q45" s="14">
        <f t="shared" si="24"/>
      </c>
      <c r="R45" s="14">
        <f t="shared" si="24"/>
      </c>
      <c r="S45" s="14">
        <f t="shared" si="24"/>
      </c>
      <c r="T45" s="14">
        <f t="shared" si="24"/>
      </c>
      <c r="U45" s="14">
        <f t="shared" si="24"/>
      </c>
      <c r="V45" s="14">
        <f t="shared" si="24"/>
      </c>
      <c r="W45" s="14">
        <f t="shared" si="24"/>
      </c>
      <c r="X45" s="14">
        <f t="shared" si="24"/>
      </c>
      <c r="Y45" s="14">
        <f t="shared" si="24"/>
      </c>
    </row>
    <row r="46" spans="1:26" x14ac:dyDescent="0.25">
      <c r="A46" s="7" t="s">
        <v>7</v>
      </c>
      <c r="B46" s="14">
        <f>IFERROR(B42/B44,"-")</f>
      </c>
      <c r="C46" s="14">
        <f t="shared" ref="C46:Y46" si="25">IFERROR(C42/C44,"-")</f>
      </c>
      <c r="D46" s="14">
        <f t="shared" si="25"/>
      </c>
      <c r="E46" s="14">
        <f t="shared" si="25"/>
      </c>
      <c r="F46" s="14">
        <f t="shared" si="25"/>
      </c>
      <c r="G46" s="14">
        <f t="shared" si="25"/>
      </c>
      <c r="H46" s="14">
        <f t="shared" si="25"/>
      </c>
      <c r="I46" s="14">
        <f t="shared" si="25"/>
      </c>
      <c r="J46" s="14">
        <f t="shared" si="25"/>
      </c>
      <c r="K46" s="14">
        <f t="shared" ref="K46:X46" si="26">IFERROR(K42/K44,"-")</f>
      </c>
      <c r="L46" s="14">
        <f t="shared" si="26"/>
      </c>
      <c r="M46" s="14">
        <f t="shared" si="26"/>
      </c>
      <c r="N46" s="14">
        <f t="shared" si="26"/>
      </c>
      <c r="O46" s="14">
        <f t="shared" si="26"/>
      </c>
      <c r="P46" s="14">
        <f t="shared" si="26"/>
      </c>
      <c r="Q46" s="14">
        <f t="shared" si="26"/>
      </c>
      <c r="R46" s="14">
        <f t="shared" ref="R46:W46" si="27">IFERROR(R42/R44,"-")</f>
      </c>
      <c r="S46" s="14">
        <f t="shared" si="27"/>
      </c>
      <c r="T46" s="14">
        <f t="shared" si="27"/>
      </c>
      <c r="U46" s="14">
        <f t="shared" si="27"/>
      </c>
      <c r="V46" s="14">
        <f t="shared" si="27"/>
      </c>
      <c r="W46" s="14">
        <f t="shared" si="27"/>
      </c>
      <c r="X46" s="14">
        <f t="shared" si="26"/>
      </c>
      <c r="Y46" s="14">
        <f t="shared" si="25"/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55C7-7D72-4A03-B544-6CFD5EB1CC69}">
  <dimension ref="A32:B79"/>
  <sheetViews>
    <sheetView zoomScaleNormal="100" workbookViewId="0">
      <selection activeCell="A29" sqref="A29"/>
    </sheetView>
  </sheetViews>
  <sheetFormatPr baseColWidth="10" defaultRowHeight="15" x14ac:dyDescent="0.25"/>
  <cols>
    <col min="1" max="1" width="17" customWidth="1"/>
    <col min="2" max="2" width="36.85546875" customWidth="1"/>
  </cols>
  <sheetData>
    <row r="32" spans="1:2" x14ac:dyDescent="0.25">
      <c r="A32" s="18"/>
      <c r="B32" s="18"/>
    </row>
    <row r="33" spans="1:2" x14ac:dyDescent="0.25">
      <c r="A33" s="18"/>
      <c r="B33" s="18"/>
    </row>
    <row r="34" spans="1:2" x14ac:dyDescent="0.25">
      <c r="A34" s="18"/>
      <c r="B34" s="18"/>
    </row>
    <row r="35" spans="1:2" x14ac:dyDescent="0.25">
      <c r="A35" s="18"/>
      <c r="B35" s="18"/>
    </row>
    <row r="36" spans="1:2" x14ac:dyDescent="0.25">
      <c r="A36" s="18"/>
      <c r="B36" s="18"/>
    </row>
    <row r="37" spans="1:2" x14ac:dyDescent="0.25">
      <c r="A37" s="18"/>
      <c r="B37" s="18"/>
    </row>
    <row r="38" spans="1:2" x14ac:dyDescent="0.25">
      <c r="A38" s="18"/>
      <c r="B38" s="18"/>
    </row>
    <row r="39" spans="1:2" x14ac:dyDescent="0.25">
      <c r="A39" s="18"/>
      <c r="B39" s="18"/>
    </row>
    <row r="40" spans="1:2" x14ac:dyDescent="0.25">
      <c r="A40" s="18"/>
      <c r="B40" s="18"/>
    </row>
    <row r="41" spans="1:2" x14ac:dyDescent="0.25">
      <c r="A41" s="18"/>
      <c r="B41" s="18"/>
    </row>
    <row r="42" spans="1:2" x14ac:dyDescent="0.25">
      <c r="A42" s="18"/>
      <c r="B42" s="18"/>
    </row>
    <row r="43" spans="1:2" x14ac:dyDescent="0.25">
      <c r="A43" s="18"/>
      <c r="B43" s="18"/>
    </row>
    <row r="44" spans="1:2" x14ac:dyDescent="0.25">
      <c r="A44" s="18"/>
      <c r="B44" s="18"/>
    </row>
    <row r="45" spans="1:2" x14ac:dyDescent="0.25">
      <c r="A45" s="18"/>
      <c r="B45" s="18"/>
    </row>
    <row r="46" spans="1:2" x14ac:dyDescent="0.25">
      <c r="A46" s="18"/>
      <c r="B46" s="18"/>
    </row>
    <row r="47" spans="1:2" x14ac:dyDescent="0.25">
      <c r="A47" s="18"/>
      <c r="B47" s="18"/>
    </row>
    <row r="48" spans="1:2" x14ac:dyDescent="0.25">
      <c r="A48" s="18"/>
      <c r="B48" s="18"/>
    </row>
    <row r="49" spans="1:2" x14ac:dyDescent="0.25">
      <c r="A49" s="18"/>
      <c r="B49" s="18"/>
    </row>
    <row r="50" spans="1:2" x14ac:dyDescent="0.25">
      <c r="A50" s="18"/>
      <c r="B50" s="18"/>
    </row>
    <row r="51" spans="1:2" x14ac:dyDescent="0.25">
      <c r="A51" s="18"/>
      <c r="B51" s="18"/>
    </row>
    <row r="52" spans="1:2" x14ac:dyDescent="0.25">
      <c r="A52" s="18"/>
      <c r="B52" s="18"/>
    </row>
    <row r="53" spans="1:2" x14ac:dyDescent="0.25">
      <c r="A53" s="18"/>
      <c r="B53" s="18"/>
    </row>
    <row r="54" spans="1:2" x14ac:dyDescent="0.25">
      <c r="A54" s="18"/>
      <c r="B54" s="18"/>
    </row>
    <row r="55" spans="1:2" x14ac:dyDescent="0.25">
      <c r="A55" s="18"/>
      <c r="B55" s="18"/>
    </row>
    <row r="56" spans="1:2" x14ac:dyDescent="0.25">
      <c r="A56" s="18"/>
      <c r="B56" s="18"/>
    </row>
    <row r="57" spans="1:2" x14ac:dyDescent="0.25">
      <c r="A57" s="18"/>
      <c r="B57" s="18"/>
    </row>
    <row r="58" spans="1:2" x14ac:dyDescent="0.25">
      <c r="A58" s="18"/>
      <c r="B58" s="18"/>
    </row>
    <row r="59" spans="1:2" x14ac:dyDescent="0.25">
      <c r="A59" s="18"/>
      <c r="B59" s="18"/>
    </row>
    <row r="60" spans="1:2" x14ac:dyDescent="0.25">
      <c r="A60" s="18"/>
      <c r="B60" s="18"/>
    </row>
    <row r="61" spans="1:2" x14ac:dyDescent="0.25">
      <c r="A61" s="18"/>
      <c r="B61" s="18"/>
    </row>
    <row r="62" spans="1:2" x14ac:dyDescent="0.25">
      <c r="A62" s="18"/>
      <c r="B62" s="18"/>
    </row>
    <row r="63" spans="1:2" x14ac:dyDescent="0.25">
      <c r="A63" s="18"/>
      <c r="B63" s="18"/>
    </row>
    <row r="64" spans="1:2" x14ac:dyDescent="0.25">
      <c r="A64" s="18"/>
      <c r="B64" s="18"/>
    </row>
    <row r="65" spans="1:2" x14ac:dyDescent="0.25">
      <c r="A65" s="18"/>
      <c r="B65" s="18"/>
    </row>
    <row r="66" spans="1:2" x14ac:dyDescent="0.25">
      <c r="A66" s="18"/>
      <c r="B66" s="18"/>
    </row>
    <row r="67" spans="1:2" x14ac:dyDescent="0.25">
      <c r="A67" s="18"/>
      <c r="B67" s="18"/>
    </row>
    <row r="68" spans="1:2" x14ac:dyDescent="0.25">
      <c r="A68" s="18"/>
      <c r="B68" s="18"/>
    </row>
    <row r="69" spans="1:2" x14ac:dyDescent="0.25">
      <c r="A69" s="18"/>
      <c r="B69" s="18"/>
    </row>
    <row r="70" spans="1:2" x14ac:dyDescent="0.25">
      <c r="A70" s="18"/>
      <c r="B70" s="18"/>
    </row>
    <row r="71" spans="1:2" x14ac:dyDescent="0.25">
      <c r="A71" s="18"/>
      <c r="B71" s="18"/>
    </row>
    <row r="72" spans="1:2" x14ac:dyDescent="0.25">
      <c r="A72" s="18"/>
      <c r="B72" s="18"/>
    </row>
    <row r="73" spans="1:2" x14ac:dyDescent="0.25">
      <c r="A73" s="18"/>
      <c r="B73" s="18"/>
    </row>
    <row r="74" spans="1:2" x14ac:dyDescent="0.25">
      <c r="A74" s="18"/>
      <c r="B74" s="18"/>
    </row>
    <row r="75" spans="1:2" x14ac:dyDescent="0.25">
      <c r="A75" s="18"/>
      <c r="B75" s="18"/>
    </row>
    <row r="76" spans="1:2" x14ac:dyDescent="0.25">
      <c r="A76" s="18"/>
      <c r="B76" s="18"/>
    </row>
    <row r="77" spans="1:2" x14ac:dyDescent="0.25">
      <c r="A77" s="18"/>
      <c r="B77" s="18"/>
    </row>
    <row r="78" spans="1:2" x14ac:dyDescent="0.25">
      <c r="A78" s="18"/>
      <c r="B78" s="18"/>
    </row>
    <row r="79" spans="1:2" x14ac:dyDescent="0.25">
      <c r="A79" s="18"/>
      <c r="B79" s="18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showGridLines="0" zoomScale="90" zoomScaleNormal="90" workbookViewId="0">
      <selection activeCell="L5" sqref="L5"/>
    </sheetView>
  </sheetViews>
  <sheetFormatPr defaultRowHeight="15"/>
  <cols>
    <col min="1" max="1" width="9" customWidth="1"/>
    <col min="2" max="2" width="11" customWidth="1"/>
    <col min="3" max="3" width="18" customWidth="1"/>
    <col min="4" max="4" width="14" customWidth="1"/>
    <col min="5" max="5" width="14" customWidth="1"/>
    <col min="6" max="6" width="14" customWidth="1"/>
    <col min="7" max="7" width="12" customWidth="1"/>
    <col min="8" max="8" width="12" customWidth="1"/>
    <col min="9" max="9" width="12" customWidth="1"/>
    <col min="10" max="10" width="3" customWidth="1"/>
    <col min="11" max="11" width="34" customWidth="1"/>
    <col min="12" max="12" width="14" customWidth="1"/>
    <col min="13" max="13" width="10" customWidth="1"/>
    <col min="14" max="14" width="30" customWidth="1"/>
  </cols>
  <sheetData>
    <row r="1" ht="24" customHeight="1">
      <c r="A1" s="23" t="inlineStr">
        <is>
          <t xml:space="preserve">SportMatch — Valor Ganado (EVM) y Curva S</t>
        </is>
      </c>
    </row>
    <row r="2">
      <c r="A2" s="24" t="inlineStr">
        <is>
          <t xml:space="preserve">Equipo 11 · Corte 15/10/2026 (semana 10, cierre del S2) · USD acumulados (devs + leads + infra + IA + 10 % de contingencia de actividades) · Base: WBS y Cronograma v4 · Datos desde PRESUPUESTO y Avance semanal</t>
        </is>
      </c>
    </row>
    <row r="4" ht="34" customHeight="1">
      <c r="A4" s="25" t="inlineStr">
        <is>
          <t xml:space="preserve">Semana</t>
        </is>
      </c>
      <c r="B4" s="25" t="inlineStr">
        <is>
          <t xml:space="preserve">Cierre (jueves)</t>
        </is>
      </c>
      <c r="C4" s="25" t="inlineStr">
        <is>
          <t xml:space="preserve">Hito</t>
        </is>
      </c>
      <c r="D4" s="25" t="inlineStr">
        <is>
          <t xml:space="preserve">PV acumulado (USD)</t>
        </is>
      </c>
      <c r="E4" s="25" t="inlineStr">
        <is>
          <t xml:space="preserve">EV acumulado (USD)</t>
        </is>
      </c>
      <c r="F4" s="25" t="inlineStr">
        <is>
          <t xml:space="preserve">AC acumulado (USD)</t>
        </is>
      </c>
      <c r="G4" s="25" t="inlineStr">
        <is>
          <t xml:space="preserve">Horas plan acum. (devs)</t>
        </is>
      </c>
      <c r="H4" s="25" t="inlineStr">
        <is>
          <t xml:space="preserve">Horas ganadas acum. (WBS)</t>
        </is>
      </c>
      <c r="I4" s="25" t="inlineStr">
        <is>
          <t xml:space="preserve">Horas reales acum. (devs)</t>
        </is>
      </c>
      <c r="K4" s="44" t="inlineStr">
        <is>
          <t xml:space="preserve">Parámetros</t>
        </is>
      </c>
      <c r="L4" s="25"/>
    </row>
    <row r="5">
      <c r="A5" s="27">
        <v>1</v>
      </c>
      <c r="B5" s="27" t="inlineStr">
        <is>
          <t xml:space="preserve">13/08</t>
        </is>
      </c>
      <c r="C5" s="26" t="inlineStr">
        <is>
          <t xml:space="preserve">S1 · Capacitación</t>
        </is>
      </c>
      <c r="D5" s="28">
        <f>PRESUPUESTO!B40</f>
      </c>
      <c r="E5" s="28">
        <f>IFERROR(PRESUPUESTO!B42,"")</f>
      </c>
      <c r="F5" s="28">
        <f>IFERROR(PRESUPUESTO!B44,"")</f>
      </c>
      <c r="G5" s="29">
        <f>SUM('Avance semanal'!$D$6:D6)</f>
      </c>
      <c r="H5" s="29">
        <f>SUM('Avance semanal'!$F$6:F6)</f>
      </c>
      <c r="I5" s="29">
        <f>SUM('Avance semanal'!$E$6:E6)</f>
      </c>
      <c r="K5" s="32" t="inlineStr">
        <is>
          <t xml:space="preserve">Semana de corte</t>
        </is>
      </c>
      <c r="L5" s="30">
        <v>10</v>
      </c>
    </row>
    <row r="6">
      <c r="A6" s="27">
        <v>2</v>
      </c>
      <c r="B6" s="27" t="inlineStr">
        <is>
          <t xml:space="preserve">20/08</t>
        </is>
      </c>
      <c r="C6" s="26" t="inlineStr">
        <is>
          <t xml:space="preserve">S1</t>
        </is>
      </c>
      <c r="D6" s="28">
        <f>PRESUPUESTO!C40</f>
      </c>
      <c r="E6" s="28">
        <f>IFERROR(PRESUPUESTO!C42,"")</f>
      </c>
      <c r="F6" s="28">
        <f>IFERROR(PRESUPUESTO!C44,"")</f>
      </c>
      <c r="G6" s="29">
        <f>SUM('Avance semanal'!$D$6:D7)</f>
      </c>
      <c r="H6" s="29">
        <f>SUM('Avance semanal'!$F$6:F7)</f>
      </c>
      <c r="I6" s="29">
        <f>SUM('Avance semanal'!$E$6:E7)</f>
      </c>
      <c r="K6" s="32" t="inlineStr">
        <is>
          <t xml:space="preserve">Tarifa desarrollo (USD/h)</t>
        </is>
      </c>
      <c r="L6" s="30">
        <v>10</v>
      </c>
    </row>
    <row r="7">
      <c r="A7" s="27">
        <v>3</v>
      </c>
      <c r="B7" s="27" t="inlineStr">
        <is>
          <t xml:space="preserve">27/08</t>
        </is>
      </c>
      <c r="C7" s="26" t="inlineStr">
        <is>
          <t xml:space="preserve">S1</t>
        </is>
      </c>
      <c r="D7" s="28">
        <f>PRESUPUESTO!D40</f>
      </c>
      <c r="E7" s="28">
        <f>IFERROR(PRESUPUESTO!D42,"")</f>
      </c>
      <c r="F7" s="28">
        <f>IFERROR(PRESUPUESTO!D44,"")</f>
      </c>
      <c r="G7" s="29">
        <f>SUM('Avance semanal'!$D$6:D8)</f>
      </c>
      <c r="H7" s="29">
        <f>SUM('Avance semanal'!$F$6:F8)</f>
      </c>
      <c r="I7" s="29">
        <f>SUM('Avance semanal'!$E$6:E8)</f>
      </c>
      <c r="K7" s="32" t="inlineStr">
        <is>
          <t xml:space="preserve">Contingencia de actividades (% del costo, dentro del BAC)</t>
        </is>
      </c>
      <c r="L7" s="54">
        <v>0.1</v>
      </c>
    </row>
    <row r="8">
      <c r="A8" s="27">
        <v>4</v>
      </c>
      <c r="B8" s="27" t="inlineStr">
        <is>
          <t xml:space="preserve">03/09</t>
        </is>
      </c>
      <c r="C8" s="26" t="inlineStr">
        <is>
          <t xml:space="preserve">S1</t>
        </is>
      </c>
      <c r="D8" s="28">
        <f>PRESUPUESTO!E40</f>
      </c>
      <c r="E8" s="28">
        <f>IFERROR(PRESUPUESTO!E42,"")</f>
      </c>
      <c r="F8" s="28">
        <f>IFERROR(PRESUPUESTO!E44,"")</f>
      </c>
      <c r="G8" s="29">
        <f>SUM('Avance semanal'!$D$6:D9)</f>
      </c>
      <c r="H8" s="29">
        <f>SUM('Avance semanal'!$F$6:F9)</f>
      </c>
      <c r="I8" s="29">
        <f>SUM('Avance semanal'!$E$6:E9)</f>
      </c>
      <c r="K8" s="32" t="inlineStr">
        <is>
          <t xml:space="preserve">BAC línea base EVM = BAC del proyecto (devs + leads + infra + IA + contingencia de actividades)</t>
        </is>
      </c>
      <c r="L8" s="38">
        <f>PRESUPUESTO!Z39</f>
      </c>
    </row>
    <row r="9">
      <c r="A9" s="27">
        <v>5</v>
      </c>
      <c r="B9" s="27" t="inlineStr">
        <is>
          <t xml:space="preserve">10/09</t>
        </is>
      </c>
      <c r="C9" s="26" t="inlineStr">
        <is>
          <t xml:space="preserve">S1</t>
        </is>
      </c>
      <c r="D9" s="28">
        <f>PRESUPUESTO!F40</f>
      </c>
      <c r="E9" s="28">
        <f>IFERROR(PRESUPUESTO!F42,"")</f>
      </c>
      <c r="F9" s="28">
        <f>IFERROR(PRESUPUESTO!F44,"")</f>
      </c>
      <c r="G9" s="29">
        <f>SUM('Avance semanal'!$D$6:D10)</f>
      </c>
      <c r="H9" s="29">
        <f>SUM('Avance semanal'!$F$6:F10)</f>
      </c>
      <c r="I9" s="29">
        <f>SUM('Avance semanal'!$E$6:E10)</f>
      </c>
      <c r="K9" s="32" t="inlineStr">
        <is>
          <t xml:space="preserve">Esfuerzo de desarrollo (h, Cronograma v4 con 13.1 a 6 h)</t>
        </is>
      </c>
      <c r="L9" s="30">
        <v>227.62</v>
      </c>
    </row>
    <row r="10" ht="20" customHeight="1">
      <c r="A10" s="27">
        <v>6</v>
      </c>
      <c r="B10" s="27" t="inlineStr">
        <is>
          <t xml:space="preserve">17/09</t>
        </is>
      </c>
      <c r="C10" s="26" t="inlineStr">
        <is>
          <t xml:space="preserve">S1 · Steering 1</t>
        </is>
      </c>
      <c r="D10" s="28">
        <f>PRESUPUESTO!G40</f>
      </c>
      <c r="E10" s="28">
        <f>IFERROR(PRESUPUESTO!G42,"")</f>
      </c>
      <c r="F10" s="28">
        <f>IFERROR(PRESUPUESTO!G44,"")</f>
      </c>
      <c r="G10" s="29">
        <f>SUM('Avance semanal'!$D$6:D11)</f>
      </c>
      <c r="H10" s="29">
        <f>SUM('Avance semanal'!$F$6:F11)</f>
      </c>
      <c r="I10" s="29">
        <f>SUM('Avance semanal'!$E$6:E11)</f>
      </c>
      <c r="K10" s="44" t="inlineStr">
        <is>
          <t xml:space="preserve">Métrica al corte</t>
        </is>
      </c>
      <c r="L10" s="25" t="inlineStr">
        <is>
          <t xml:space="preserve">USD</t>
        </is>
      </c>
      <c r="M10" s="25" t="inlineStr">
        <is>
          <t xml:space="preserve">Horas (devs)</t>
        </is>
      </c>
      <c r="N10" s="25" t="inlineStr">
        <is>
          <t xml:space="preserve">Lectura</t>
        </is>
      </c>
    </row>
    <row r="11">
      <c r="A11" s="27">
        <v>7</v>
      </c>
      <c r="B11" s="27" t="inlineStr">
        <is>
          <t xml:space="preserve">24/09</t>
        </is>
      </c>
      <c r="C11" s="26" t="inlineStr">
        <is>
          <t xml:space="preserve">S2</t>
        </is>
      </c>
      <c r="D11" s="28">
        <f>PRESUPUESTO!H40</f>
      </c>
      <c r="E11" s="28">
        <f>IFERROR(PRESUPUESTO!H42,"")</f>
      </c>
      <c r="F11" s="28">
        <f>IFERROR(PRESUPUESTO!H44,"")</f>
      </c>
      <c r="G11" s="29">
        <f>SUM('Avance semanal'!$D$6:D12)</f>
      </c>
      <c r="H11" s="29">
        <f>SUM('Avance semanal'!$F$6:F12)</f>
      </c>
      <c r="I11" s="29">
        <f>SUM('Avance semanal'!$E$6:E12)</f>
      </c>
      <c r="K11" s="32" t="inlineStr">
        <is>
          <t xml:space="preserve">PV — Valor Planeado</t>
        </is>
      </c>
      <c r="L11" s="38">
        <f>INDEX(PRESUPUESTO!$B$40:$Y$40,$L$5)</f>
      </c>
      <c r="M11" s="35">
        <f>INDEX($G$5:$G$17,$L$5)</f>
      </c>
      <c r="N11" s="39"/>
    </row>
    <row r="12">
      <c r="A12" s="27">
        <v>8</v>
      </c>
      <c r="B12" s="27" t="inlineStr">
        <is>
          <t xml:space="preserve">01/10</t>
        </is>
      </c>
      <c r="C12" s="26" t="inlineStr">
        <is>
          <t xml:space="preserve">S2</t>
        </is>
      </c>
      <c r="D12" s="28">
        <f>PRESUPUESTO!I40</f>
      </c>
      <c r="E12" s="28">
        <f>IFERROR(PRESUPUESTO!I42,"")</f>
      </c>
      <c r="F12" s="28">
        <f>IFERROR(PRESUPUESTO!I44,"")</f>
      </c>
      <c r="G12" s="29">
        <f>SUM('Avance semanal'!$D$6:D13)</f>
      </c>
      <c r="H12" s="29">
        <f>SUM('Avance semanal'!$F$6:F13)</f>
      </c>
      <c r="I12" s="29">
        <f>SUM('Avance semanal'!$E$6:E13)</f>
      </c>
      <c r="K12" s="32" t="inlineStr">
        <is>
          <t xml:space="preserve">EV — Valor Ganado</t>
        </is>
      </c>
      <c r="L12" s="38">
        <f>INDEX(PRESUPUESTO!$B$42:$Y$42,$L$5)</f>
      </c>
      <c r="M12" s="35">
        <f>INDEX($H$5:$H$17,$L$5)</f>
      </c>
      <c r="N12" s="39"/>
    </row>
    <row r="13">
      <c r="A13" s="27">
        <v>9</v>
      </c>
      <c r="B13" s="27" t="inlineStr">
        <is>
          <t xml:space="preserve">08/10</t>
        </is>
      </c>
      <c r="C13" s="26" t="inlineStr">
        <is>
          <t xml:space="preserve">S2</t>
        </is>
      </c>
      <c r="D13" s="28">
        <f>PRESUPUESTO!J40</f>
      </c>
      <c r="E13" s="28">
        <f>IFERROR(PRESUPUESTO!J42,"")</f>
      </c>
      <c r="F13" s="28">
        <f>IFERROR(PRESUPUESTO!J44,"")</f>
      </c>
      <c r="G13" s="29">
        <f>SUM('Avance semanal'!$D$6:D14)</f>
      </c>
      <c r="H13" s="29">
        <f>SUM('Avance semanal'!$F$6:F14)</f>
      </c>
      <c r="I13" s="29">
        <f>SUM('Avance semanal'!$E$6:E14)</f>
      </c>
      <c r="K13" s="32" t="inlineStr">
        <is>
          <t xml:space="preserve">AC — Costo Real</t>
        </is>
      </c>
      <c r="L13" s="38">
        <f>INDEX(PRESUPUESTO!$B$44:$Y$44,$L$5)</f>
      </c>
      <c r="M13" s="35">
        <f>INDEX($I$5:$I$17,$L$5)</f>
      </c>
      <c r="N13" s="39"/>
    </row>
    <row r="14">
      <c r="A14" s="41">
        <v>10</v>
      </c>
      <c r="B14" s="41" t="inlineStr">
        <is>
          <t xml:space="preserve">15/10</t>
        </is>
      </c>
      <c r="C14" s="40" t="inlineStr">
        <is>
          <t xml:space="preserve">S2 · CORTE (steering 2) · MVP</t>
        </is>
      </c>
      <c r="D14" s="42">
        <f>PRESUPUESTO!K40</f>
      </c>
      <c r="E14" s="42">
        <f>IFERROR(PRESUPUESTO!K42,"")</f>
      </c>
      <c r="F14" s="42">
        <f>IFERROR(PRESUPUESTO!K44,"")</f>
      </c>
      <c r="G14" s="43">
        <f>SUM('Avance semanal'!$D$6:D15)</f>
      </c>
      <c r="H14" s="43">
        <f>SUM('Avance semanal'!$F$6:F15)</f>
      </c>
      <c r="I14" s="43">
        <f>SUM('Avance semanal'!$E$6:E15)</f>
      </c>
      <c r="K14" s="32" t="inlineStr">
        <is>
          <t xml:space="preserve">CV = EV − AC</t>
        </is>
      </c>
      <c r="L14" s="33">
        <f>L12-L13</f>
      </c>
      <c r="M14" s="35">
        <f>M12-M13</f>
      </c>
      <c r="N14" s="39">
        <f>IF(L14&gt;=0,"Bajo presupuesto","Sobre presupuesto")</f>
      </c>
    </row>
    <row r="15">
      <c r="A15" s="27">
        <v>11</v>
      </c>
      <c r="B15" s="27" t="inlineStr">
        <is>
          <t xml:space="preserve">22/10</t>
        </is>
      </c>
      <c r="C15" s="26" t="inlineStr">
        <is>
          <t xml:space="preserve">S3</t>
        </is>
      </c>
      <c r="D15" s="28">
        <f>PRESUPUESTO!L40</f>
      </c>
      <c r="E15" s="28">
        <f>IFERROR(PRESUPUESTO!L42,"")</f>
      </c>
      <c r="F15" s="28">
        <f>IFERROR(PRESUPUESTO!L44,"")</f>
      </c>
      <c r="G15" s="29">
        <f>SUM('Avance semanal'!$D$6:D16)</f>
      </c>
      <c r="H15" s="29"/>
      <c r="I15" s="29"/>
      <c r="K15" s="32" t="inlineStr">
        <is>
          <t xml:space="preserve">SV = EV − PV</t>
        </is>
      </c>
      <c r="L15" s="33">
        <f>L12-L11</f>
      </c>
      <c r="M15" s="35">
        <f>M12-M11</f>
      </c>
      <c r="N15" s="39">
        <f>IF(L15&gt;=0,"Adelantado al plan","Atrasado")</f>
      </c>
    </row>
    <row r="16">
      <c r="A16" s="27">
        <v>12</v>
      </c>
      <c r="B16" s="27" t="inlineStr">
        <is>
          <t xml:space="preserve">29/10</t>
        </is>
      </c>
      <c r="C16" s="26" t="inlineStr">
        <is>
          <t xml:space="preserve">S3</t>
        </is>
      </c>
      <c r="D16" s="28">
        <f>PRESUPUESTO!M40</f>
      </c>
      <c r="E16" s="28">
        <f>IFERROR(PRESUPUESTO!M42,"")</f>
      </c>
      <c r="F16" s="28">
        <f>IFERROR(PRESUPUESTO!M44,"")</f>
      </c>
      <c r="G16" s="29">
        <f>SUM('Avance semanal'!$D$6:D17)</f>
      </c>
      <c r="H16" s="29"/>
      <c r="I16" s="29"/>
      <c r="K16" s="32" t="inlineStr">
        <is>
          <t xml:space="preserve">CPI = EV / AC</t>
        </is>
      </c>
      <c r="L16" s="34">
        <f>L12/L13</f>
      </c>
      <c r="M16" s="35"/>
      <c r="N16" s="39">
        <f>IF(L16&gt;=1,"Eficiente en costo (&gt;1)","Ineficiente (&lt;1)")</f>
      </c>
    </row>
    <row r="17">
      <c r="A17" s="27">
        <v>13</v>
      </c>
      <c r="B17" s="27" t="inlineStr">
        <is>
          <t xml:space="preserve">05/11</t>
        </is>
      </c>
      <c r="C17" s="26" t="inlineStr">
        <is>
          <t xml:space="preserve">S3 · Fin del desarrollo</t>
        </is>
      </c>
      <c r="D17" s="28">
        <f>PRESUPUESTO!N40</f>
      </c>
      <c r="E17" s="28">
        <f>IFERROR(PRESUPUESTO!N42,"")</f>
      </c>
      <c r="F17" s="28">
        <f>IFERROR(PRESUPUESTO!N44,"")</f>
      </c>
      <c r="G17" s="29">
        <f>SUM('Avance semanal'!$D$6:D18)</f>
      </c>
      <c r="K17" s="32" t="inlineStr">
        <is>
          <t xml:space="preserve">SPI = EV / PV</t>
        </is>
      </c>
      <c r="L17" s="34">
        <f>L12/L11</f>
      </c>
      <c r="M17" s="35"/>
      <c r="N17" s="39">
        <f>IF(L17&gt;=1,"Por encima del ritmo (&gt;1)","Por debajo del ritmo (&lt;1)")</f>
      </c>
    </row>
    <row r="18">
      <c r="A18" s="37" t="inlineStr">
        <is>
          <t xml:space="preserve">Gráfico: Curva S — PV vs EV vs AC</t>
        </is>
      </c>
      <c r="K18" s="32" t="inlineStr">
        <is>
          <t xml:space="preserve">EAC = BAC EVM / CPI</t>
        </is>
      </c>
      <c r="L18" s="33">
        <f>L8/L16</f>
      </c>
      <c r="M18" s="35"/>
      <c r="N18" s="39" t="inlineStr">
        <is>
          <t xml:space="preserve">Costo estimado al cierre</t>
        </is>
      </c>
    </row>
    <row r="19">
      <c r="K19" s="32" t="inlineStr">
        <is>
          <t xml:space="preserve">ETC = EAC − AC</t>
        </is>
      </c>
      <c r="L19" s="33">
        <f>L18-L13</f>
      </c>
      <c r="M19" s="35"/>
      <c r="N19" s="39" t="inlineStr">
        <is>
          <t xml:space="preserve">Costo para completar</t>
        </is>
      </c>
    </row>
    <row r="20">
      <c r="K20" s="32" t="inlineStr">
        <is>
          <t xml:space="preserve">VAC = BAC EVM − EAC</t>
        </is>
      </c>
      <c r="L20" s="33">
        <f>L8-L18</f>
      </c>
      <c r="M20" s="35"/>
      <c r="N20" s="39">
        <f>IF(L20&gt;=0,"Ahorro proyectado","Sobrecosto proyectado")</f>
      </c>
    </row>
    <row r="21">
      <c r="K21" s="32" t="inlineStr">
        <is>
          <t xml:space="preserve">BAC desarrollo (devs + infra + IA)</t>
        </is>
      </c>
      <c r="L21" s="38">
        <f>SUM(PRESUPUESTO!Z9:Z14)</f>
      </c>
    </row>
    <row r="22">
      <c r="K22" s="32" t="inlineStr">
        <is>
          <t xml:space="preserve">Tarifa leads (USD/h)</t>
        </is>
      </c>
      <c r="L22" s="30">
        <v>20</v>
      </c>
    </row>
    <row r="23">
      <c r="K23" s="37" t="inlineStr">
        <is>
          <t xml:space="preserve">Notas y supuestos</t>
        </is>
      </c>
    </row>
    <row r="24">
      <c r="K24" s="36" t="inlineStr">
        <is>
          <t xml:space="preserve">• PV: 3 devs (6 h/sem × 10 USD/h = 60 USD/sem c/u) + 4 leads (PM, PO, Tech Lead y QA Lead: 4 h/sem × 20 USD/h = 80 USD/sem c/u) durante 13 semanas + Azure B1 desde el deploy (29/08) + Claude Code/ChatGPT (3 × 20 USD/mes). No entran la reserva de gestión (contingencia de gestión, 10 % = 671,94 USD) ni la semana de reserva (05/11 → 12/11).</t>
        </is>
      </c>
    </row>
    <row r="25">
      <c r="K25" s="36" t="inlineStr">
        <is>
          <t xml:space="preserve">• Vercel (Hobby), Neon (Free), Google Maps y Google Places no tienen costo. Firebase Auth, GitHub Actions y GHCR tampoco.</t>
        </is>
      </c>
    </row>
    <row r="26">
      <c r="K26" s="36" t="inlineStr">
        <is>
          <t xml:space="preserve">• EV = (EV desarrollo + EV leads) × (1 + contingencia de actividades). EV desarrollo = % completo × BAC desarrollo (L21); % completo = horas estimadas de los paquetes de la WBS cerrados / 227,62 h. Semanal: 5,5 · 32,71 · 8,72 · 30,3 · 26,29 · 20,18 · 7,83 · 21,14 · 24,42 · 16,22 h (193,31 h).</t>
        </is>
      </c>
    </row>
    <row r="27">
      <c r="K27" s="36" t="inlineStr">
        <is>
          <t xml:space="preserve">• Leads como level of effort: su trabajo no se cierra por paquetes, así que EV = PV. AC: 18 h reales/sem de devs + 16 h reales/sem de leads (22 h en la semana 9 por el challenge) + lo facturado de infra e IA. El detalle está en la hoja Avance semanal.</t>
        </is>
      </c>
    </row>
    <row r="28">
      <c r="K28" s="36" t="inlineStr">
        <is>
          <t xml:space="preserve">• Contingencia en el EVM (cambio respecto del Steering 1): la contingencia de actividades (10 %) es parte de la línea base de costos (PMBOK 7.3), así que se reparte en proporción al trabajo planificado (fila 19 de PRESUPUESTO) y PV y EV van × 1,1. El BAC del EVM (L8) es el BAC del proyecto: 6.719,42 + 10 % = 7.391,36 USD, sin CAPEX. La contingencia de gestión (otro 10 %, 671,94 USD) es reserva de gestión: queda fuera del BAC y del EVM. Presupuesto total: 8.063,30 USD. El AC es el gasto real, también el que cubre la contingencia. El CPI incluye la contingencia no usada: sin ella da 1,01.</t>
        </is>
      </c>
    </row>
    <row r="29">
      <c r="K29" s="36" t="inlineStr">
        <is>
          <t xml:space="preserve">• Cambio respecto del Steering 1: la curva incluye a los leads (incidente Sem08 del tablero: se había omitido su valor). Las semanas 1 a 6 se recalcularon con la base nueva.</t>
        </is>
      </c>
    </row>
    <row r="30">
      <c r="K30" s="36" t="inlineStr">
        <is>
          <t xml:space="preserve">• Los N/A de PRESUPUESTO (semanas 11 a 24) vienen de la plantilla y cortan las curvas EV y AC en la semana de corte.</t>
        </is>
      </c>
    </row>
    <row r="31">
      <c r="K31" s="36" t="inlineStr">
        <is>
          <t xml:space="preserve">• En el gráfico, EV y AC toman PRESUPUESTO!B:K (semanas 1 a 10). Al cargar semanas nuevas, extender el rango de esas dos series.</t>
        </is>
      </c>
    </row>
    <row r="32">
      <c r="K32" s="36" t="inlineStr">
        <is>
          <t xml:space="preserve">• Celdas amarillas con texto azul = datos a editar. Texto verde = vínculo a otra hoja.</t>
        </is>
      </c>
    </row>
    <row r="33">
      <c r="K33" s="36" t="inlineStr">
        <is>
          <t xml:space="preserve">• Divisor de 227,62 h: las 225,62 h del Cronograma v4 (78 paquetes, con la épica 13.0 sumada el 07/10) con 13.1 re-estimada de 4 h a 6 h (Lab2: SPO-276 y SPO-277, ADR-001). Lab4 (workflow, alertas y ADR, 6 h) lo hicieron los leads por encima de su level of effort: suma 6 h × 20 USD = 120 USD al AC de la semana 9 y se cubre con la contingencia de actividades (671,94 → 551,94 USD). El EV no cambia porque Lab4 no está en la línea base.</t>
        </is>
      </c>
    </row>
    <row r="34">
      <c r="K34" s="36" t="inlineStr">
        <is>
          <t xml:space="preserve">• Semana 10: SPO-262, SPO-264 y SPO-279 cerraron en Linear el 13/10 y el 14/10. Lo que está en Backlog no suma: 6.5.1 queda pendiente por SPO-259.</t>
        </is>
      </c>
    </row>
    <row r="35">
      <c r="K35" s="36" t="inlineStr">
        <is>
          <t xml:space="preserve">• Infra e IA: lo facturado en las semanas 7 a 10 coincide con el plan (confirmado el 14/10).</t>
        </is>
      </c>
    </row>
    <row r="36">
      <c r="K36" s="36" t="inlineStr">
        <is>
          <t xml:space="preserve">• Roles de los leads. S1: PM Chialva, PO Valle, Tech Lead Bogo, QA Chevallier. Desde la semana 7: PM Chevallier, PO Chialva, Tech Lead Valle, QA Bogo.</t>
        </is>
      </c>
    </row>
  </sheetData>
  <pageMargins left="0.5" right="0.5" top="0.6" bottom="0.6" header="0.3" footer="0.3"/>
  <pageSetup paperSize="9" orientation="landscape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showGridLines="0" zoomScale="90" zoomScaleNormal="90" workbookViewId="0">
      <selection activeCell="F6" sqref="F6"/>
    </sheetView>
  </sheetViews>
  <sheetFormatPr defaultRowHeight="15"/>
  <cols>
    <col min="1" max="1" width="9" customWidth="1"/>
    <col min="2" max="2" width="9" customWidth="1"/>
    <col min="3" max="3" width="18" customWidth="1"/>
    <col min="4" max="4" width="10" customWidth="1"/>
    <col min="5" max="5" width="10" customWidth="1"/>
    <col min="6" max="6" width="10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3" width="10" customWidth="1"/>
    <col min="14" max="14" width="90" customWidth="1"/>
  </cols>
  <sheetData>
    <row r="1" ht="24" customHeight="1">
      <c r="A1" s="23" t="inlineStr">
        <is>
          <t xml:space="preserve">SportMatch — Avance semanal (horas y valor ganado)</t>
        </is>
      </c>
    </row>
    <row r="2">
      <c r="A2" s="24" t="inlineStr">
        <is>
          <t xml:space="preserve">Equipo 11 · Semanas de jueves a jueves (06/08 → 05/11) · S1 = sem 1–6, S2 = 7–10, S3 = 11–13 · Corte 15/10 (semana 10) · Reserva 05/11 → 12/11 fuera del BAC · Celdas amarillas = datos a editar</t>
        </is>
      </c>
    </row>
    <row r="5" ht="34" customHeight="1">
      <c r="A5" s="25" t="inlineStr">
        <is>
          <t xml:space="preserve">Semana</t>
        </is>
      </c>
      <c r="B5" s="25" t="inlineStr">
        <is>
          <t xml:space="preserve">Cierre</t>
        </is>
      </c>
      <c r="C5" s="25" t="inlineStr">
        <is>
          <t xml:space="preserve">Hito</t>
        </is>
      </c>
      <c r="D5" s="25" t="inlineStr">
        <is>
          <t xml:space="preserve">Horas plan (devs)</t>
        </is>
      </c>
      <c r="E5" s="25" t="inlineStr">
        <is>
          <t xml:space="preserve">Horas reales (devs)</t>
        </is>
      </c>
      <c r="F5" s="25" t="inlineStr">
        <is>
          <t xml:space="preserve">Horas ganadas (WBS)</t>
        </is>
      </c>
      <c r="G5" s="25" t="inlineStr">
        <is>
          <t xml:space="preserve">% completo de la semana</t>
        </is>
      </c>
      <c r="H5" s="25" t="inlineStr">
        <is>
          <t xml:space="preserve">Infra + IA plan (USD)</t>
        </is>
      </c>
      <c r="I5" s="25" t="inlineStr">
        <is>
          <t xml:space="preserve">Infra + IA real (USD)</t>
        </is>
      </c>
      <c r="J5" s="25" t="inlineStr">
        <is>
          <t xml:space="preserve">EV total (USD) = (% × BAC desarrollo + leads) × (1 + contingencia de actividades)</t>
        </is>
      </c>
      <c r="K5" s="25" t="inlineStr">
        <is>
          <t xml:space="preserve">AC total (USD)</t>
        </is>
      </c>
      <c r="L5" s="25" t="inlineStr">
        <is>
          <t xml:space="preserve">Horas leads plan</t>
        </is>
      </c>
      <c r="M5" s="25" t="inlineStr">
        <is>
          <t xml:space="preserve">Horas leads reales</t>
        </is>
      </c>
      <c r="N5" s="25" t="inlineStr">
        <is>
          <t xml:space="preserve">Qué pasó en la semana</t>
        </is>
      </c>
    </row>
    <row r="6">
      <c r="A6" s="27">
        <v>1</v>
      </c>
      <c r="B6" s="27" t="inlineStr">
        <is>
          <t xml:space="preserve">13/08</t>
        </is>
      </c>
      <c r="C6" s="26" t="inlineStr">
        <is>
          <t xml:space="preserve">S1 · Capacitación</t>
        </is>
      </c>
      <c r="D6" s="29">
        <f>(PRESUPUESTO!B9+PRESUPUESTO!B10+PRESUPUESTO!B11)/'Curva S'!$L$6</f>
      </c>
      <c r="E6" s="47">
        <v>18</v>
      </c>
      <c r="F6" s="47">
        <v>5.5</v>
      </c>
      <c r="G6" s="53">
        <f>F6/'Curva S'!$L$9</f>
      </c>
      <c r="H6" s="28">
        <f>PRESUPUESTO!B12+PRESUPUESTO!B13+PRESUPUESTO!B14</f>
      </c>
      <c r="I6" s="45">
        <f>H6</f>
      </c>
      <c r="J6" s="45">
        <f>(G6*'Curva S'!$L$21+L6*'Curva S'!$L$22)*(1+'Curva S'!$L$7)</f>
      </c>
      <c r="K6" s="45">
        <f>E6*'Curva S'!$L$6+I6+M6*'Curva S'!$L$22</f>
      </c>
      <c r="L6" s="29">
        <f>(PRESUPUESTO!B15+PRESUPUESTO!B16+PRESUPUESTO!B17+PRESUPUESTO!B18)/'Curva S'!$L$22</f>
      </c>
      <c r="M6" s="47">
        <v>16</v>
      </c>
      <c r="N6" s="39" t="inlineStr">
        <is>
          <t xml:space="preserve">Cierran 3.1.1, 3.1.3</t>
        </is>
      </c>
    </row>
    <row r="7">
      <c r="A7" s="27">
        <v>2</v>
      </c>
      <c r="B7" s="27" t="inlineStr">
        <is>
          <t xml:space="preserve">20/08</t>
        </is>
      </c>
      <c r="C7" s="26" t="inlineStr">
        <is>
          <t xml:space="preserve">S1</t>
        </is>
      </c>
      <c r="D7" s="29">
        <f>(PRESUPUESTO!C9+PRESUPUESTO!C10+PRESUPUESTO!C11)/'Curva S'!$L$6</f>
      </c>
      <c r="E7" s="47">
        <v>18</v>
      </c>
      <c r="F7" s="47">
        <v>32.71</v>
      </c>
      <c r="G7" s="53">
        <f>F7/'Curva S'!$L$9</f>
      </c>
      <c r="H7" s="28">
        <f>PRESUPUESTO!C12+PRESUPUESTO!C13+PRESUPUESTO!C14</f>
      </c>
      <c r="I7" s="45">
        <f>H7</f>
      </c>
      <c r="J7" s="45">
        <f>(G7*'Curva S'!$L$21+L7*'Curva S'!$L$22)*(1+'Curva S'!$L$7)</f>
      </c>
      <c r="K7" s="45">
        <f>E7*'Curva S'!$L$6+I7+M7*'Curva S'!$L$22</f>
      </c>
      <c r="L7" s="29">
        <f>(PRESUPUESTO!C15+PRESUPUESTO!C16+PRESUPUESTO!C17+PRESUPUESTO!C18)/'Curva S'!$L$22</f>
      </c>
      <c r="M7" s="47">
        <v>16</v>
      </c>
      <c r="N7" s="39" t="inlineStr">
        <is>
          <t xml:space="preserve">Cierran 3.1.2, 3.2.1, 4.1.1, 4.1.3, 4.1.4, 4.2.1, 4.2.2, 4.2.3, 10.2.1</t>
        </is>
      </c>
    </row>
    <row r="8">
      <c r="A8" s="27">
        <v>3</v>
      </c>
      <c r="B8" s="27" t="inlineStr">
        <is>
          <t xml:space="preserve">27/08</t>
        </is>
      </c>
      <c r="C8" s="26" t="inlineStr">
        <is>
          <t xml:space="preserve">S1</t>
        </is>
      </c>
      <c r="D8" s="29">
        <f>(PRESUPUESTO!D9+PRESUPUESTO!D10+PRESUPUESTO!D11)/'Curva S'!$L$6</f>
      </c>
      <c r="E8" s="47">
        <v>18</v>
      </c>
      <c r="F8" s="47">
        <v>8.72</v>
      </c>
      <c r="G8" s="53">
        <f>F8/'Curva S'!$L$9</f>
      </c>
      <c r="H8" s="28">
        <f>PRESUPUESTO!D12+PRESUPUESTO!D13+PRESUPUESTO!D14</f>
      </c>
      <c r="I8" s="45">
        <f>H8</f>
      </c>
      <c r="J8" s="45">
        <f>(G8*'Curva S'!$L$21+L8*'Curva S'!$L$22)*(1+'Curva S'!$L$7)</f>
      </c>
      <c r="K8" s="45">
        <f>E8*'Curva S'!$L$6+I8+M8*'Curva S'!$L$22</f>
      </c>
      <c r="L8" s="29">
        <f>(PRESUPUESTO!D15+PRESUPUESTO!D16+PRESUPUESTO!D17+PRESUPUESTO!D18)/'Curva S'!$L$22</f>
      </c>
      <c r="M8" s="47">
        <v>16</v>
      </c>
      <c r="N8" s="39" t="inlineStr">
        <is>
          <t xml:space="preserve">Cierran 3.2.2, 4.1.2, 6.1.1, 9.1.4</t>
        </is>
      </c>
    </row>
    <row r="9">
      <c r="A9" s="27">
        <v>4</v>
      </c>
      <c r="B9" s="27" t="inlineStr">
        <is>
          <t xml:space="preserve">03/09</t>
        </is>
      </c>
      <c r="C9" s="26" t="inlineStr">
        <is>
          <t xml:space="preserve">S1</t>
        </is>
      </c>
      <c r="D9" s="29">
        <f>(PRESUPUESTO!E9+PRESUPUESTO!E10+PRESUPUESTO!E11)/'Curva S'!$L$6</f>
      </c>
      <c r="E9" s="47">
        <v>18</v>
      </c>
      <c r="F9" s="47">
        <v>30.3</v>
      </c>
      <c r="G9" s="53">
        <f>F9/'Curva S'!$L$9</f>
      </c>
      <c r="H9" s="28">
        <f>PRESUPUESTO!E12+PRESUPUESTO!E13+PRESUPUESTO!E14</f>
      </c>
      <c r="I9" s="45">
        <f>H9</f>
      </c>
      <c r="J9" s="45">
        <f>(G9*'Curva S'!$L$21+L9*'Curva S'!$L$22)*(1+'Curva S'!$L$7)</f>
      </c>
      <c r="K9" s="45">
        <f>E9*'Curva S'!$L$6+I9+M9*'Curva S'!$L$22</f>
      </c>
      <c r="L9" s="29">
        <f>(PRESUPUESTO!E15+PRESUPUESTO!E16+PRESUPUESTO!E17+PRESUPUESTO!E18)/'Curva S'!$L$22</f>
      </c>
      <c r="M9" s="47">
        <v>16</v>
      </c>
      <c r="N9" s="39" t="inlineStr">
        <is>
          <t xml:space="preserve">Cierran 3.2.3, 4.2.5, 6.1.2, 6.1.5, 6.2.3, 6.3.5, 7.2.1, 9.1.1, 9.1.2, 9.1.3</t>
        </is>
      </c>
    </row>
    <row r="10">
      <c r="A10" s="27">
        <v>5</v>
      </c>
      <c r="B10" s="27" t="inlineStr">
        <is>
          <t xml:space="preserve">10/09</t>
        </is>
      </c>
      <c r="C10" s="26" t="inlineStr">
        <is>
          <t xml:space="preserve">S1</t>
        </is>
      </c>
      <c r="D10" s="29">
        <f>(PRESUPUESTO!F9+PRESUPUESTO!F10+PRESUPUESTO!F11)/'Curva S'!$L$6</f>
      </c>
      <c r="E10" s="47">
        <v>18</v>
      </c>
      <c r="F10" s="47">
        <v>26.29</v>
      </c>
      <c r="G10" s="53">
        <f>F10/'Curva S'!$L$9</f>
      </c>
      <c r="H10" s="28">
        <f>PRESUPUESTO!F12+PRESUPUESTO!F13+PRESUPUESTO!F14</f>
      </c>
      <c r="I10" s="45">
        <f>H10</f>
      </c>
      <c r="J10" s="45">
        <f>(G10*'Curva S'!$L$21+L10*'Curva S'!$L$22)*(1+'Curva S'!$L$7)</f>
      </c>
      <c r="K10" s="45">
        <f>E10*'Curva S'!$L$6+I10+M10*'Curva S'!$L$22</f>
      </c>
      <c r="L10" s="29">
        <f>(PRESUPUESTO!F15+PRESUPUESTO!F16+PRESUPUESTO!F17+PRESUPUESTO!F18)/'Curva S'!$L$22</f>
      </c>
      <c r="M10" s="47">
        <v>16</v>
      </c>
      <c r="N10" s="39" t="inlineStr">
        <is>
          <t xml:space="preserve">Cierran 5.1.2, 5.2.1, 6.1.3, 6.2.1, 6.2.4, 6.3.1, 6.3.2, 6.3.3, 7.2.2</t>
        </is>
      </c>
    </row>
    <row r="11">
      <c r="A11" s="27">
        <v>6</v>
      </c>
      <c r="B11" s="27" t="inlineStr">
        <is>
          <t xml:space="preserve">17/09</t>
        </is>
      </c>
      <c r="C11" s="26" t="inlineStr">
        <is>
          <t xml:space="preserve">S1 · Steering 1</t>
        </is>
      </c>
      <c r="D11" s="29">
        <f>(PRESUPUESTO!G9+PRESUPUESTO!G10+PRESUPUESTO!G11)/'Curva S'!$L$6</f>
      </c>
      <c r="E11" s="47">
        <v>18</v>
      </c>
      <c r="F11" s="47">
        <v>20.18</v>
      </c>
      <c r="G11" s="53">
        <f>F11/'Curva S'!$L$9</f>
      </c>
      <c r="H11" s="28">
        <f>PRESUPUESTO!G12+PRESUPUESTO!G13+PRESUPUESTO!G14</f>
      </c>
      <c r="I11" s="45">
        <f>H11</f>
      </c>
      <c r="J11" s="45">
        <f>(G11*'Curva S'!$L$21+L11*'Curva S'!$L$22)*(1+'Curva S'!$L$7)</f>
      </c>
      <c r="K11" s="45">
        <f>E11*'Curva S'!$L$6+I11+M11*'Curva S'!$L$22</f>
      </c>
      <c r="L11" s="29">
        <f>(PRESUPUESTO!G15+PRESUPUESTO!G16+PRESUPUESTO!G17+PRESUPUESTO!G18)/'Curva S'!$L$22</f>
      </c>
      <c r="M11" s="47">
        <v>16</v>
      </c>
      <c r="N11" s="39" t="inlineStr">
        <is>
          <t xml:space="preserve">Cierran 4.2.4, 5.1.3, 5.1.5, 5.2.4, 5.2.5, 6.2.2, 6.3.4, 6.4.1, 6.4.2</t>
        </is>
      </c>
    </row>
    <row r="12">
      <c r="A12" s="27">
        <v>7</v>
      </c>
      <c r="B12" s="27" t="inlineStr">
        <is>
          <t xml:space="preserve">24/09</t>
        </is>
      </c>
      <c r="C12" s="26" t="inlineStr">
        <is>
          <t xml:space="preserve">S2</t>
        </is>
      </c>
      <c r="D12" s="29">
        <f>(PRESUPUESTO!H9+PRESUPUESTO!H10+PRESUPUESTO!H11)/'Curva S'!$L$6</f>
      </c>
      <c r="E12" s="47">
        <v>18</v>
      </c>
      <c r="F12" s="47">
        <v>7.83</v>
      </c>
      <c r="G12" s="53">
        <f>F12/'Curva S'!$L$9</f>
      </c>
      <c r="H12" s="28">
        <f>PRESUPUESTO!H12+PRESUPUESTO!H13+PRESUPUESTO!H14</f>
      </c>
      <c r="I12" s="45">
        <f>H12</f>
      </c>
      <c r="J12" s="45">
        <f>(G12*'Curva S'!$L$21+L12*'Curva S'!$L$22)*(1+'Curva S'!$L$7)</f>
      </c>
      <c r="K12" s="45">
        <f>E12*'Curva S'!$L$6+I12+M12*'Curva S'!$L$22</f>
      </c>
      <c r="L12" s="29">
        <f>(PRESUPUESTO!H15+PRESUPUESTO!H16+PRESUPUESTO!H17+PRESUPUESTO!H18)/'Curva S'!$L$22</f>
      </c>
      <c r="M12" s="47">
        <v>16</v>
      </c>
      <c r="N12" s="39" t="inlineStr">
        <is>
          <t xml:space="preserve">Cierran 5.2.3, 6.1.4, 6.2.5, 11.1.1</t>
        </is>
      </c>
    </row>
    <row r="13">
      <c r="A13" s="27">
        <v>8</v>
      </c>
      <c r="B13" s="27" t="inlineStr">
        <is>
          <t xml:space="preserve">01/10</t>
        </is>
      </c>
      <c r="C13" s="26" t="inlineStr">
        <is>
          <t xml:space="preserve">S2</t>
        </is>
      </c>
      <c r="D13" s="29">
        <f>(PRESUPUESTO!I9+PRESUPUESTO!I10+PRESUPUESTO!I11)/'Curva S'!$L$6</f>
      </c>
      <c r="E13" s="47">
        <v>18</v>
      </c>
      <c r="F13" s="47">
        <v>21.14</v>
      </c>
      <c r="G13" s="53">
        <f>F13/'Curva S'!$L$9</f>
      </c>
      <c r="H13" s="28">
        <f>PRESUPUESTO!I12+PRESUPUESTO!I13+PRESUPUESTO!I14</f>
      </c>
      <c r="I13" s="45">
        <f>H13</f>
      </c>
      <c r="J13" s="45">
        <f>(G13*'Curva S'!$L$21+L13*'Curva S'!$L$22)*(1+'Curva S'!$L$7)</f>
      </c>
      <c r="K13" s="45">
        <f>E13*'Curva S'!$L$6+I13+M13*'Curva S'!$L$22</f>
      </c>
      <c r="L13" s="29">
        <f>(PRESUPUESTO!I15+PRESUPUESTO!I16+PRESUPUESTO!I17+PRESUPUESTO!I18)/'Curva S'!$L$22</f>
      </c>
      <c r="M13" s="47">
        <v>16</v>
      </c>
      <c r="N13" s="39" t="inlineStr">
        <is>
          <t xml:space="preserve">Cierran 6.2.6, 7.1.1, 7.3.2, 7.3.3, 11.1.3, 11.2.1</t>
        </is>
      </c>
    </row>
    <row r="14">
      <c r="A14" s="27">
        <v>9</v>
      </c>
      <c r="B14" s="27" t="inlineStr">
        <is>
          <t xml:space="preserve">08/10</t>
        </is>
      </c>
      <c r="C14" s="26" t="inlineStr">
        <is>
          <t xml:space="preserve">S2</t>
        </is>
      </c>
      <c r="D14" s="29">
        <f>(PRESUPUESTO!J9+PRESUPUESTO!J10+PRESUPUESTO!J11)/'Curva S'!$L$6</f>
      </c>
      <c r="E14" s="47">
        <v>18</v>
      </c>
      <c r="F14" s="47">
        <v>24.42</v>
      </c>
      <c r="G14" s="53">
        <f>F14/'Curva S'!$L$9</f>
      </c>
      <c r="H14" s="28">
        <f>PRESUPUESTO!J12+PRESUPUESTO!J13+PRESUPUESTO!J14</f>
      </c>
      <c r="I14" s="45">
        <f>H14</f>
      </c>
      <c r="J14" s="45">
        <f>(G14*'Curva S'!$L$21+L14*'Curva S'!$L$22)*(1+'Curva S'!$L$7)</f>
      </c>
      <c r="K14" s="45">
        <f>E14*'Curva S'!$L$6+I14+M14*'Curva S'!$L$22</f>
      </c>
      <c r="L14" s="29">
        <f>(PRESUPUESTO!J15+PRESUPUESTO!J16+PRESUPUESTO!J17+PRESUPUESTO!J18)/'Curva S'!$L$22</f>
      </c>
      <c r="M14" s="47">
        <v>22</v>
      </c>
      <c r="N14" s="39" t="inlineStr">
        <is>
          <t xml:space="preserve">Cierran 5.1.1, 5.1.4, 6.4.3, 7.1.3, 7.3.1, 11.1.2, 11.2.2, 13.1.1, 13.1.2 (challenge, 13.1 re-estimada a 6 h) · Leads: +6 h de Lab4 (workflow, alertas y ADR), de la contingencia</t>
        </is>
      </c>
    </row>
    <row r="15">
      <c r="A15" s="41">
        <v>10</v>
      </c>
      <c r="B15" s="41" t="inlineStr">
        <is>
          <t xml:space="preserve">15/10</t>
        </is>
      </c>
      <c r="C15" s="40" t="inlineStr">
        <is>
          <t xml:space="preserve">S2 · CORTE (steering 2) · MVP</t>
        </is>
      </c>
      <c r="D15" s="43">
        <f>(PRESUPUESTO!K9+PRESUPUESTO!K10+PRESUPUESTO!K11)/'Curva S'!$L$6</f>
      </c>
      <c r="E15" s="47">
        <v>18</v>
      </c>
      <c r="F15" s="47">
        <v>16.22</v>
      </c>
      <c r="G15" s="53">
        <f>F15/'Curva S'!$L$9</f>
      </c>
      <c r="H15" s="42">
        <f>PRESUPUESTO!K12+PRESUPUESTO!K13+PRESUPUESTO!K14</f>
      </c>
      <c r="I15" s="46">
        <f>H15</f>
      </c>
      <c r="J15" s="46">
        <f>(G15*'Curva S'!$L$21+L15*'Curva S'!$L$22)*(1+'Curva S'!$L$7)</f>
      </c>
      <c r="K15" s="46">
        <f>E15*'Curva S'!$L$6+I15+M15*'Curva S'!$L$22</f>
      </c>
      <c r="L15" s="43">
        <f>(PRESUPUESTO!K15+PRESUPUESTO!K16+PRESUPUESTO!K17+PRESUPUESTO!K18)/'Curva S'!$L$22</f>
      </c>
      <c r="M15" s="47">
        <v>16</v>
      </c>
      <c r="N15" s="39" t="inlineStr">
        <is>
          <t xml:space="preserve">Cierran 5.2.2, 6.5.2, 6.5.3, 7.1.2, 12.1.1, 12.1.2 (5.2.2 y 6.5.3 cerraron el 13/10 y el 14/10)</t>
        </is>
      </c>
    </row>
    <row r="16">
      <c r="A16" s="27">
        <v>11</v>
      </c>
      <c r="B16" s="27" t="inlineStr">
        <is>
          <t xml:space="preserve">22/10</t>
        </is>
      </c>
      <c r="C16" s="26" t="inlineStr">
        <is>
          <t xml:space="preserve">S3</t>
        </is>
      </c>
      <c r="D16" s="29">
        <f>(PRESUPUESTO!L9+PRESUPUESTO!L10+PRESUPUESTO!L11)/'Curva S'!$L$6</f>
      </c>
      <c r="E16" s="27"/>
      <c r="F16" s="27"/>
      <c r="G16" s="27"/>
      <c r="H16" s="28">
        <f>PRESUPUESTO!L12+PRESUPUESTO!L13+PRESUPUESTO!L14</f>
      </c>
      <c r="I16" s="27"/>
      <c r="J16" s="27"/>
      <c r="K16" s="27"/>
      <c r="L16" s="29">
        <f>(PRESUPUESTO!L15+PRESUPUESTO!L16+PRESUPUESTO!L17+PRESUPUESTO!L18)/'Curva S'!$L$22</f>
      </c>
      <c r="M16" s="27"/>
      <c r="N16" s="39" t="inlineStr">
        <is>
          <t xml:space="preserve">Pendiente (línea base)</t>
        </is>
      </c>
    </row>
    <row r="17">
      <c r="A17" s="27">
        <v>12</v>
      </c>
      <c r="B17" s="27" t="inlineStr">
        <is>
          <t xml:space="preserve">29/10</t>
        </is>
      </c>
      <c r="C17" s="26" t="inlineStr">
        <is>
          <t xml:space="preserve">S3</t>
        </is>
      </c>
      <c r="D17" s="29">
        <f>(PRESUPUESTO!M9+PRESUPUESTO!M10+PRESUPUESTO!M11)/'Curva S'!$L$6</f>
      </c>
      <c r="E17" s="27"/>
      <c r="F17" s="27"/>
      <c r="G17" s="27"/>
      <c r="H17" s="28">
        <f>PRESUPUESTO!M12+PRESUPUESTO!M13+PRESUPUESTO!M14</f>
      </c>
      <c r="I17" s="27"/>
      <c r="J17" s="27"/>
      <c r="K17" s="27"/>
      <c r="L17" s="29">
        <f>(PRESUPUESTO!M15+PRESUPUESTO!M16+PRESUPUESTO!M17+PRESUPUESTO!M18)/'Curva S'!$L$22</f>
      </c>
      <c r="M17" s="27"/>
      <c r="N17" s="39" t="inlineStr">
        <is>
          <t xml:space="preserve">Pendiente (línea base)</t>
        </is>
      </c>
    </row>
    <row r="18">
      <c r="A18" s="27">
        <v>13</v>
      </c>
      <c r="B18" s="27" t="inlineStr">
        <is>
          <t xml:space="preserve">05/11</t>
        </is>
      </c>
      <c r="C18" s="26" t="inlineStr">
        <is>
          <t xml:space="preserve">S3 · Fin del desarrollo</t>
        </is>
      </c>
      <c r="D18" s="29">
        <f>(PRESUPUESTO!N9+PRESUPUESTO!N10+PRESUPUESTO!N11)/'Curva S'!$L$6</f>
      </c>
      <c r="E18" s="27"/>
      <c r="F18" s="27"/>
      <c r="G18" s="27"/>
      <c r="H18" s="28">
        <f>PRESUPUESTO!N12+PRESUPUESTO!N13+PRESUPUESTO!N14</f>
      </c>
      <c r="I18" s="27"/>
      <c r="J18" s="27"/>
      <c r="K18" s="27"/>
      <c r="L18" s="29">
        <f>(PRESUPUESTO!N15+PRESUPUESTO!N16+PRESUPUESTO!N17+PRESUPUESTO!N18)/'Curva S'!$L$22</f>
      </c>
      <c r="M18" s="27"/>
      <c r="N18" s="39" t="inlineStr">
        <is>
          <t xml:space="preserve">Pendiente (línea base)</t>
        </is>
      </c>
    </row>
    <row r="19">
      <c r="A19" s="32" t="inlineStr">
        <is>
          <t xml:space="preserve">Total al corte</t>
        </is>
      </c>
      <c r="B19" s="32"/>
      <c r="C19" s="32"/>
      <c r="D19" s="48">
        <f>SUM(D6:D15)</f>
      </c>
      <c r="E19" s="48">
        <f>SUM(E6:E15)</f>
      </c>
      <c r="F19" s="48">
        <f>SUM(F6:F15)</f>
      </c>
      <c r="G19" s="53">
        <f>SUM(G6:G15)</f>
      </c>
      <c r="H19" s="49">
        <f>SUM(H6:H15)</f>
      </c>
      <c r="I19" s="49">
        <f>SUM(I6:I15)</f>
      </c>
      <c r="J19" s="49">
        <f>SUM(J6:J15)</f>
      </c>
      <c r="K19" s="49">
        <f>SUM(K6:K15)</f>
      </c>
      <c r="L19" s="48">
        <f>SUM(L6:L15)</f>
      </c>
      <c r="M19" s="48">
        <f>SUM(M6:M15)</f>
      </c>
      <c r="N19" s="39" t="inlineStr">
        <is>
          <t xml:space="preserve">Semanas 1 a 10</t>
        </is>
      </c>
    </row>
    <row r="20">
      <c r="A20" s="37" t="inlineStr">
        <is>
          <t xml:space="preserve">Cómo leer esta hoja</t>
        </is>
      </c>
    </row>
    <row r="21">
      <c r="A21" s="36" t="inlineStr">
        <is>
          <t xml:space="preserve">• Horas plan y reales (devs): 3 devs × 6 h/sem, de las filas de devs de PRESUPUESTO; reales 18 h/sem. Horas leads: 4 leads × 4 h/sem, de las filas 15 a 18 de PRESUPUESTO; reales 16 h/sem (22 h en la semana 9: +6 h de Lab4 por el challenge, cubiertas con la contingencia).</t>
        </is>
      </c>
    </row>
    <row r="22">
      <c r="A22" s="36" t="inlineStr">
        <is>
          <t xml:space="preserve">• Horas ganadas: horas estimadas (WBS v4) de los paquetes que cierran en la semana, con la fecha de cierre de Linear (sync del 12/10). Total al corte: 193,31 h de 227,62 h de desarrollo (84,9 %). Los paquetes parciales no suman; los arreglos sobre paquetes ya cerrados tampoco.</t>
        </is>
      </c>
    </row>
    <row r="23">
      <c r="A23" s="36" t="inlineStr">
        <is>
          <t xml:space="preserve">• Infra + IA: Azure B1 (13,14 USD/mes) desde el deploy del 29/08 (SPO-175/176) y Claude Code/ChatGPT (3 × 20 USD/mes, se cobra el 10 de cada mes). Semanas 7 a 10: lo facturado coincide con el plan (confirmado el 14/10).</t>
        </is>
      </c>
    </row>
    <row r="24">
      <c r="A24" s="36" t="inlineStr">
        <is>
          <t xml:space="preserve">• EV total = (% completo × BAC desarrollo (Curva S!L21) + horas leads plan × tarifa leads) × (1 + contingencia de actividades, Curva S!L7). Leads como level of effort: EV = PV. AC total = horas reales devs × tarifa dev + horas reales leads × tarifa leads + Infra/IA facturados (sin contingencia: es gasto real). Ambas columnas alimentan las filas 41 y 43 de PRESUPUESTO.</t>
        </is>
      </c>
    </row>
    <row r="25">
      <c r="A25" s="36" t="inlineStr">
        <is>
          <t xml:space="preserve">• Semana 10: SPO-262, SPO-264 y SPO-279 cerraron en Linear el 13/10 y el 14/10. Lo que está en Backlog no suma.</t>
        </is>
      </c>
    </row>
  </sheetData>
  <pageMargins left="0.5" right="0.5" top="0.6" bottom="0.6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Curva S</vt:lpstr>
      <vt:lpstr>Avance semanal</vt:lpstr>
      <vt:lpstr>Ayuda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MARCHINI JORGE OSCAR</dc:creator>
  <cp:lastModifiedBy>MARCHINI JORGE OSCAR</cp:lastModifiedBy>
  <cp:lastPrinted>2022-05-03T17:22:41Z</cp:lastPrinted>
  <dcterms:created xsi:type="dcterms:W3CDTF">2015-06-05T18:19:34Z</dcterms:created>
  <dcterms:modified xsi:type="dcterms:W3CDTF">2026-08-29T00:41:20Z</dcterms:modified>
</cp:coreProperties>
</file>